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75" windowHeight="8220"/>
  </bookViews>
  <sheets>
    <sheet name="Clientes MPA" sheetId="1" r:id="rId1"/>
    <sheet name="Tabela dinâmica" sheetId="3" r:id="rId2"/>
    <sheet name="outros" sheetId="2" r:id="rId3"/>
  </sheets>
  <definedNames>
    <definedName name="_xlnm._FilterDatabase" localSheetId="0" hidden="1">'Clientes MPA'!$B$3:$J$42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<sst xmlns="http://schemas.openxmlformats.org/spreadsheetml/2006/main" count="164" uniqueCount="84">
  <si>
    <t>Período analisado 01/01/2026 a 19/03/2026</t>
  </si>
  <si>
    <t>Cliente</t>
  </si>
  <si>
    <t>total_digitais</t>
  </si>
  <si>
    <t>% digital</t>
  </si>
  <si>
    <t>total_fisicos</t>
  </si>
  <si>
    <t>% fisico</t>
  </si>
  <si>
    <t>total_geral</t>
  </si>
  <si>
    <t>Situação</t>
  </si>
  <si>
    <t>Obs.</t>
  </si>
  <si>
    <t>Próximos passos</t>
  </si>
  <si>
    <t>Bragança</t>
  </si>
  <si>
    <t>Digital</t>
  </si>
  <si>
    <t>Bebedouro</t>
  </si>
  <si>
    <t>Taboão da Serra</t>
  </si>
  <si>
    <t>Fisico e Digital</t>
  </si>
  <si>
    <t>Mairiporã PM</t>
  </si>
  <si>
    <t xml:space="preserve">Ferraz de Vasconcelos PM </t>
  </si>
  <si>
    <t>Fisico</t>
  </si>
  <si>
    <t>Caieiras</t>
  </si>
  <si>
    <t>Mococa</t>
  </si>
  <si>
    <t>Em transição</t>
  </si>
  <si>
    <t>Itapeva PM</t>
  </si>
  <si>
    <t>Itu PM</t>
  </si>
  <si>
    <t>Jandira PM</t>
  </si>
  <si>
    <t>aguardando a descrição dos assuntos</t>
  </si>
  <si>
    <t>Poá</t>
  </si>
  <si>
    <t>Cordeiropolis PM</t>
  </si>
  <si>
    <t>Barra Bonita PM</t>
  </si>
  <si>
    <t>Embu Guaçu PM</t>
  </si>
  <si>
    <t>Cabreúva PM</t>
  </si>
  <si>
    <t>Caçapava PM</t>
  </si>
  <si>
    <t>Rio Claro Fundação</t>
  </si>
  <si>
    <t>Itirapina PM</t>
  </si>
  <si>
    <t>Rio Claro PM</t>
  </si>
  <si>
    <t>SEI</t>
  </si>
  <si>
    <t>Cajuru PM</t>
  </si>
  <si>
    <t>Cubatão</t>
  </si>
  <si>
    <t>Bauru FunPrev</t>
  </si>
  <si>
    <t>Tiete SAMAE</t>
  </si>
  <si>
    <t>Santo Antonio do Jardim PM</t>
  </si>
  <si>
    <t>Cabreúva CM</t>
  </si>
  <si>
    <t>Bebedouro SAAE</t>
  </si>
  <si>
    <t>Santo Antonio da Alegria PM</t>
  </si>
  <si>
    <t>Sorocaba PM</t>
  </si>
  <si>
    <t>Mairiporã IPREMA</t>
  </si>
  <si>
    <t>Santa Cruz da Esperança PM</t>
  </si>
  <si>
    <t>Caieiras Prev</t>
  </si>
  <si>
    <t>Bebedouro Sasemb</t>
  </si>
  <si>
    <t>Caçapava CM</t>
  </si>
  <si>
    <t>Limeira CEPROSOM</t>
  </si>
  <si>
    <t>Itu CIS</t>
  </si>
  <si>
    <t>Sistema bloqueado</t>
  </si>
  <si>
    <t>Ferraz de Vasconvelos CM</t>
  </si>
  <si>
    <t>Só utilizaram em 2018</t>
  </si>
  <si>
    <t>Sorocaba URBES</t>
  </si>
  <si>
    <t>Itapeva IPMI</t>
  </si>
  <si>
    <t>Caçapava Fusam</t>
  </si>
  <si>
    <t>aguardando a implantação da assinatura digital</t>
  </si>
  <si>
    <t>(TODOS)</t>
  </si>
  <si>
    <t>Soma de total_fisicos</t>
  </si>
  <si>
    <t>Soma de total_digitais</t>
  </si>
  <si>
    <t>Soma de total_geral</t>
  </si>
  <si>
    <t>Total geral</t>
  </si>
  <si>
    <t>Prefeitura</t>
  </si>
  <si>
    <t>MPA</t>
  </si>
  <si>
    <t>obs.</t>
  </si>
  <si>
    <t>Batatais - PM</t>
  </si>
  <si>
    <t xml:space="preserve">NÃO USA </t>
  </si>
  <si>
    <t>Itapecerica da Serra - FMS</t>
  </si>
  <si>
    <t>NÃO CONSEGUI NENHUM ACESSO</t>
  </si>
  <si>
    <t>Itapecerica da Serra - ITAPREV</t>
  </si>
  <si>
    <t xml:space="preserve">Liberação para esse cliente autorizada somente pela diretoria. </t>
  </si>
  <si>
    <t>Lençóis Paulista - SAAE</t>
  </si>
  <si>
    <t>Nova Campina - PM</t>
  </si>
  <si>
    <t xml:space="preserve">Sistema Bloqueado para essa entidade. </t>
  </si>
  <si>
    <t>1 doc</t>
  </si>
  <si>
    <t>Praia Grande - IPMPG</t>
  </si>
  <si>
    <t xml:space="preserve">Cliente '1980' não relacionado ao sistema '19' </t>
  </si>
  <si>
    <t>Porto Ferreira - ARPF</t>
  </si>
  <si>
    <t>NÃO TEM ACESSO</t>
  </si>
  <si>
    <t>Salto - CM</t>
  </si>
  <si>
    <t>Sorocaba - Parque</t>
  </si>
  <si>
    <t>ACESSO PELA VPN APENAS</t>
  </si>
  <si>
    <t>Taubate - 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</si>
</sst>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2"/>
      <color theme="1"/>
      <name val="Calibri"/>
      <charset val="134"/>
      <scheme val="minor"/>
    </font>
    <font>
      <b/>
      <sz val="12"/>
      <name val="Arial"/>
      <charset val="1"/>
    </font>
    <font>
      <b/>
      <sz val="11"/>
      <color rgb="FF000000"/>
      <name val="Calibri"/>
      <charset val="1"/>
    </font>
    <font>
      <sz val="12"/>
      <name val="Arial"/>
      <charset val="1"/>
    </font>
    <font>
      <sz val="11"/>
      <color rgb="FF000000"/>
      <name val="Calibri"/>
      <charset val="1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23" applyNumberFormat="0" applyAlignment="0" applyProtection="0">
      <alignment vertical="center"/>
    </xf>
    <xf numFmtId="0" fontId="20" fillId="6" borderId="24" applyNumberFormat="0" applyAlignment="0" applyProtection="0">
      <alignment vertical="center"/>
    </xf>
    <xf numFmtId="0" fontId="21" fillId="6" borderId="23" applyNumberFormat="0" applyAlignment="0" applyProtection="0">
      <alignment vertical="center"/>
    </xf>
    <xf numFmtId="0" fontId="22" fillId="7" borderId="25" applyNumberFormat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4">
    <xf numFmtId="0" fontId="0" fillId="0" borderId="0" xfId="0" applyNumberFormat="1"/>
    <xf numFmtId="0" fontId="0" fillId="0" borderId="0" xfId="0" applyNumberFormat="1" applyFill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3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4" fillId="0" borderId="0" xfId="0" applyFont="1" applyFill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wrapText="1"/>
    </xf>
    <xf numFmtId="0" fontId="3" fillId="0" borderId="7" xfId="0" applyFont="1" applyFill="1" applyBorder="1" applyAlignment="1"/>
    <xf numFmtId="0" fontId="4" fillId="0" borderId="8" xfId="0" applyFont="1" applyFill="1" applyBorder="1" applyAlignment="1">
      <alignment wrapText="1"/>
    </xf>
    <xf numFmtId="0" fontId="5" fillId="0" borderId="0" xfId="0" applyNumberFormat="1" applyFont="1"/>
    <xf numFmtId="0" fontId="6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right"/>
    </xf>
    <xf numFmtId="0" fontId="7" fillId="2" borderId="0" xfId="0" applyNumberFormat="1" applyFont="1" applyFill="1" applyAlignment="1">
      <alignment horizontal="center"/>
    </xf>
    <xf numFmtId="0" fontId="8" fillId="0" borderId="0" xfId="0" applyNumberFormat="1" applyFont="1" applyAlignment="1">
      <alignment horizontal="center"/>
    </xf>
    <xf numFmtId="0" fontId="9" fillId="3" borderId="9" xfId="0" applyNumberFormat="1" applyFont="1" applyFill="1" applyBorder="1" applyAlignment="1">
      <alignment horizontal="center"/>
    </xf>
    <xf numFmtId="0" fontId="9" fillId="3" borderId="10" xfId="0" applyNumberFormat="1" applyFont="1" applyFill="1" applyBorder="1" applyAlignment="1">
      <alignment horizontal="center"/>
    </xf>
    <xf numFmtId="0" fontId="0" fillId="0" borderId="9" xfId="0" applyNumberFormat="1" applyFill="1" applyBorder="1"/>
    <xf numFmtId="0" fontId="0" fillId="0" borderId="10" xfId="0" applyNumberFormat="1" applyFill="1" applyBorder="1" applyAlignment="1">
      <alignment horizontal="center"/>
    </xf>
    <xf numFmtId="10" fontId="0" fillId="0" borderId="10" xfId="3" applyNumberFormat="1" applyFont="1" applyFill="1" applyBorder="1" applyAlignment="1">
      <alignment horizontal="center"/>
    </xf>
    <xf numFmtId="0" fontId="0" fillId="0" borderId="10" xfId="0" applyNumberFormat="1" applyFill="1" applyBorder="1" applyAlignment="1">
      <alignment horizontal="right"/>
    </xf>
    <xf numFmtId="0" fontId="0" fillId="0" borderId="11" xfId="0" applyNumberFormat="1" applyFill="1" applyBorder="1"/>
    <xf numFmtId="0" fontId="0" fillId="0" borderId="12" xfId="0" applyNumberFormat="1" applyFill="1" applyBorder="1" applyAlignment="1">
      <alignment horizontal="center"/>
    </xf>
    <xf numFmtId="10" fontId="0" fillId="0" borderId="12" xfId="3" applyNumberFormat="1" applyFont="1" applyFill="1" applyBorder="1" applyAlignment="1">
      <alignment horizontal="center"/>
    </xf>
    <xf numFmtId="0" fontId="0" fillId="0" borderId="12" xfId="0" applyNumberFormat="1" applyFill="1" applyBorder="1" applyAlignment="1">
      <alignment horizontal="right"/>
    </xf>
    <xf numFmtId="0" fontId="0" fillId="0" borderId="13" xfId="0" applyNumberFormat="1" applyFill="1" applyBorder="1"/>
    <xf numFmtId="0" fontId="0" fillId="0" borderId="0" xfId="0" applyNumberFormat="1" applyFill="1" applyBorder="1" applyAlignment="1">
      <alignment horizontal="center"/>
    </xf>
    <xf numFmtId="10" fontId="0" fillId="0" borderId="0" xfId="3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right"/>
    </xf>
    <xf numFmtId="0" fontId="0" fillId="0" borderId="14" xfId="0" applyNumberFormat="1" applyFill="1" applyBorder="1"/>
    <xf numFmtId="0" fontId="0" fillId="0" borderId="15" xfId="0" applyNumberFormat="1" applyFill="1" applyBorder="1" applyAlignment="1">
      <alignment horizontal="center"/>
    </xf>
    <xf numFmtId="10" fontId="0" fillId="0" borderId="15" xfId="3" applyNumberFormat="1" applyFont="1" applyFill="1" applyBorder="1" applyAlignment="1">
      <alignment horizontal="center"/>
    </xf>
    <xf numFmtId="0" fontId="0" fillId="0" borderId="15" xfId="0" applyNumberFormat="1" applyFill="1" applyBorder="1" applyAlignment="1">
      <alignment horizontal="right"/>
    </xf>
    <xf numFmtId="9" fontId="0" fillId="0" borderId="10" xfId="3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horizontal="right"/>
    </xf>
    <xf numFmtId="0" fontId="9" fillId="3" borderId="16" xfId="0" applyNumberFormat="1" applyFont="1" applyFill="1" applyBorder="1" applyAlignment="1">
      <alignment horizontal="center"/>
    </xf>
    <xf numFmtId="0" fontId="0" fillId="0" borderId="16" xfId="0" applyNumberFormat="1" applyFill="1" applyBorder="1" applyAlignment="1">
      <alignment horizontal="right"/>
    </xf>
    <xf numFmtId="0" fontId="0" fillId="0" borderId="17" xfId="0" applyNumberFormat="1" applyFill="1" applyBorder="1" applyAlignment="1">
      <alignment horizontal="right"/>
    </xf>
    <xf numFmtId="0" fontId="0" fillId="0" borderId="18" xfId="0" applyNumberFormat="1" applyFill="1" applyBorder="1" applyAlignment="1">
      <alignment horizontal="right"/>
    </xf>
    <xf numFmtId="0" fontId="0" fillId="0" borderId="19" xfId="0" applyNumberFormat="1" applyFill="1" applyBorder="1" applyAlignment="1">
      <alignment horizontal="righ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">
    <dxf>
      <font>
        <b val="1"/>
      </font>
    </dxf>
    <dxf>
      <font>
        <b val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[Dados.xlsx]Tabela dinâmica!Tabela 
Dinâmica1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dinâmica'!$B$4</c:f>
              <c:strCache>
                <c:ptCount val="1"/>
                <c:pt idx="0">
                  <c:v>Soma de total_fisicos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'Tabela dinâmica'!$A$5:$A$44</c:f>
              <c:strCache>
                <c:ptCount val="39"/>
                <c:pt idx="0">
                  <c:v>Barra Bonita PM</c:v>
                </c:pt>
                <c:pt idx="1">
                  <c:v>Bauru FunPrev</c:v>
                </c:pt>
                <c:pt idx="2">
                  <c:v>Bebedouro</c:v>
                </c:pt>
                <c:pt idx="3">
                  <c:v>Bebedouro SAAE</c:v>
                </c:pt>
                <c:pt idx="4">
                  <c:v>Bebedouro Sasemb</c:v>
                </c:pt>
                <c:pt idx="5">
                  <c:v>Bragança</c:v>
                </c:pt>
                <c:pt idx="6">
                  <c:v>Cabreúva CM</c:v>
                </c:pt>
                <c:pt idx="7">
                  <c:v>Cabreúva PM</c:v>
                </c:pt>
                <c:pt idx="8">
                  <c:v>Caçapava CM</c:v>
                </c:pt>
                <c:pt idx="9">
                  <c:v>Caçapava Fusam</c:v>
                </c:pt>
                <c:pt idx="10">
                  <c:v>Caçapava PM</c:v>
                </c:pt>
                <c:pt idx="11">
                  <c:v>Caieiras</c:v>
                </c:pt>
                <c:pt idx="12">
                  <c:v>Caieiras Prev</c:v>
                </c:pt>
                <c:pt idx="13">
                  <c:v>Cajuru PM</c:v>
                </c:pt>
                <c:pt idx="14">
                  <c:v>Cordeiropolis PM</c:v>
                </c:pt>
                <c:pt idx="15">
                  <c:v>Cubatão</c:v>
                </c:pt>
                <c:pt idx="16">
                  <c:v>Embu Guaçu PM</c:v>
                </c:pt>
                <c:pt idx="17">
                  <c:v>Ferraz de Vasconcelos PM </c:v>
                </c:pt>
                <c:pt idx="18">
                  <c:v>Ferraz de Vasconvelos CM</c:v>
                </c:pt>
                <c:pt idx="19">
                  <c:v>Itapeva IPMI</c:v>
                </c:pt>
                <c:pt idx="20">
                  <c:v>Itapeva PM</c:v>
                </c:pt>
                <c:pt idx="21">
                  <c:v>Itirapina PM</c:v>
                </c:pt>
                <c:pt idx="22">
                  <c:v>Itu CIS</c:v>
                </c:pt>
                <c:pt idx="23">
                  <c:v>Itu PM</c:v>
                </c:pt>
                <c:pt idx="24">
                  <c:v>Jandira PM</c:v>
                </c:pt>
                <c:pt idx="25">
                  <c:v>Limeira CEPROSOM</c:v>
                </c:pt>
                <c:pt idx="26">
                  <c:v>Mairiporã IPREMA</c:v>
                </c:pt>
                <c:pt idx="27">
                  <c:v>Mairiporã PM</c:v>
                </c:pt>
                <c:pt idx="28">
                  <c:v>Mococa</c:v>
                </c:pt>
                <c:pt idx="29">
                  <c:v>Poá</c:v>
                </c:pt>
                <c:pt idx="30">
                  <c:v>Rio Claro Fundação</c:v>
                </c:pt>
                <c:pt idx="31">
                  <c:v>Rio Claro PM</c:v>
                </c:pt>
                <c:pt idx="32">
                  <c:v>Santa Cruz da Esperança PM</c:v>
                </c:pt>
                <c:pt idx="33">
                  <c:v>Santo Antonio da Alegria PM</c:v>
                </c:pt>
                <c:pt idx="34">
                  <c:v>Santo Antonio do Jardim PM</c:v>
                </c:pt>
                <c:pt idx="35">
                  <c:v>Sorocaba PM</c:v>
                </c:pt>
                <c:pt idx="36">
                  <c:v>Sorocaba URBES</c:v>
                </c:pt>
                <c:pt idx="37">
                  <c:v>Taboão da Serra</c:v>
                </c:pt>
                <c:pt idx="38">
                  <c:v>Tiete SAMAE</c:v>
                </c:pt>
              </c:strCache>
            </c:strRef>
          </c:cat>
          <c:val>
            <c:numRef>
              <c:f>'Tabela dinâmica'!$B$5:$B$44</c:f>
              <c:numCache>
                <c:formatCode>General</c:formatCode>
                <c:ptCount val="39"/>
                <c:pt idx="0">
                  <c:v>4</c:v>
                </c:pt>
                <c:pt idx="1">
                  <c:v>900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311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740</c:v>
                </c:pt>
                <c:pt idx="11">
                  <c:v>145</c:v>
                </c:pt>
                <c:pt idx="12">
                  <c:v>43</c:v>
                </c:pt>
                <c:pt idx="13">
                  <c:v>913</c:v>
                </c:pt>
                <c:pt idx="14">
                  <c:v>2</c:v>
                </c:pt>
                <c:pt idx="15">
                  <c:v>316</c:v>
                </c:pt>
                <c:pt idx="16">
                  <c:v>1836</c:v>
                </c:pt>
                <c:pt idx="17">
                  <c:v>6152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13</c:v>
                </c:pt>
                <c:pt idx="22">
                  <c:v>0</c:v>
                </c:pt>
                <c:pt idx="23">
                  <c:v>5055</c:v>
                </c:pt>
                <c:pt idx="24">
                  <c:v>4207</c:v>
                </c:pt>
                <c:pt idx="25">
                  <c:v>3</c:v>
                </c:pt>
                <c:pt idx="26">
                  <c:v>0</c:v>
                </c:pt>
                <c:pt idx="27">
                  <c:v>4</c:v>
                </c:pt>
                <c:pt idx="28">
                  <c:v>5387</c:v>
                </c:pt>
                <c:pt idx="29">
                  <c:v>3710</c:v>
                </c:pt>
                <c:pt idx="30">
                  <c:v>1620</c:v>
                </c:pt>
                <c:pt idx="31">
                  <c:v>979</c:v>
                </c:pt>
                <c:pt idx="32">
                  <c:v>77</c:v>
                </c:pt>
                <c:pt idx="33">
                  <c:v>208</c:v>
                </c:pt>
                <c:pt idx="34">
                  <c:v>0</c:v>
                </c:pt>
                <c:pt idx="35">
                  <c:v>275</c:v>
                </c:pt>
                <c:pt idx="36">
                  <c:v>0</c:v>
                </c:pt>
                <c:pt idx="37">
                  <c:v>5519</c:v>
                </c:pt>
                <c:pt idx="38">
                  <c:v>795</c:v>
                </c:pt>
              </c:numCache>
            </c:numRef>
          </c:val>
        </c:ser>
        <c:ser>
          <c:idx val="1"/>
          <c:order val="1"/>
          <c:tx>
            <c:strRef>
              <c:f>'Tabela dinâmica'!$C$4</c:f>
              <c:strCache>
                <c:ptCount val="1"/>
                <c:pt idx="0">
                  <c:v>Soma de total_digitais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'Tabela dinâmica'!$A$5:$A$44</c:f>
              <c:strCache>
                <c:ptCount val="39"/>
                <c:pt idx="0">
                  <c:v>Barra Bonita PM</c:v>
                </c:pt>
                <c:pt idx="1">
                  <c:v>Bauru FunPrev</c:v>
                </c:pt>
                <c:pt idx="2">
                  <c:v>Bebedouro</c:v>
                </c:pt>
                <c:pt idx="3">
                  <c:v>Bebedouro SAAE</c:v>
                </c:pt>
                <c:pt idx="4">
                  <c:v>Bebedouro Sasemb</c:v>
                </c:pt>
                <c:pt idx="5">
                  <c:v>Bragança</c:v>
                </c:pt>
                <c:pt idx="6">
                  <c:v>Cabreúva CM</c:v>
                </c:pt>
                <c:pt idx="7">
                  <c:v>Cabreúva PM</c:v>
                </c:pt>
                <c:pt idx="8">
                  <c:v>Caçapava CM</c:v>
                </c:pt>
                <c:pt idx="9">
                  <c:v>Caçapava Fusam</c:v>
                </c:pt>
                <c:pt idx="10">
                  <c:v>Caçapava PM</c:v>
                </c:pt>
                <c:pt idx="11">
                  <c:v>Caieiras</c:v>
                </c:pt>
                <c:pt idx="12">
                  <c:v>Caieiras Prev</c:v>
                </c:pt>
                <c:pt idx="13">
                  <c:v>Cajuru PM</c:v>
                </c:pt>
                <c:pt idx="14">
                  <c:v>Cordeiropolis PM</c:v>
                </c:pt>
                <c:pt idx="15">
                  <c:v>Cubatão</c:v>
                </c:pt>
                <c:pt idx="16">
                  <c:v>Embu Guaçu PM</c:v>
                </c:pt>
                <c:pt idx="17">
                  <c:v>Ferraz de Vasconcelos PM </c:v>
                </c:pt>
                <c:pt idx="18">
                  <c:v>Ferraz de Vasconvelos CM</c:v>
                </c:pt>
                <c:pt idx="19">
                  <c:v>Itapeva IPMI</c:v>
                </c:pt>
                <c:pt idx="20">
                  <c:v>Itapeva PM</c:v>
                </c:pt>
                <c:pt idx="21">
                  <c:v>Itirapina PM</c:v>
                </c:pt>
                <c:pt idx="22">
                  <c:v>Itu CIS</c:v>
                </c:pt>
                <c:pt idx="23">
                  <c:v>Itu PM</c:v>
                </c:pt>
                <c:pt idx="24">
                  <c:v>Jandira PM</c:v>
                </c:pt>
                <c:pt idx="25">
                  <c:v>Limeira CEPROSOM</c:v>
                </c:pt>
                <c:pt idx="26">
                  <c:v>Mairiporã IPREMA</c:v>
                </c:pt>
                <c:pt idx="27">
                  <c:v>Mairiporã PM</c:v>
                </c:pt>
                <c:pt idx="28">
                  <c:v>Mococa</c:v>
                </c:pt>
                <c:pt idx="29">
                  <c:v>Poá</c:v>
                </c:pt>
                <c:pt idx="30">
                  <c:v>Rio Claro Fundação</c:v>
                </c:pt>
                <c:pt idx="31">
                  <c:v>Rio Claro PM</c:v>
                </c:pt>
                <c:pt idx="32">
                  <c:v>Santa Cruz da Esperança PM</c:v>
                </c:pt>
                <c:pt idx="33">
                  <c:v>Santo Antonio da Alegria PM</c:v>
                </c:pt>
                <c:pt idx="34">
                  <c:v>Santo Antonio do Jardim PM</c:v>
                </c:pt>
                <c:pt idx="35">
                  <c:v>Sorocaba PM</c:v>
                </c:pt>
                <c:pt idx="36">
                  <c:v>Sorocaba URBES</c:v>
                </c:pt>
                <c:pt idx="37">
                  <c:v>Taboão da Serra</c:v>
                </c:pt>
                <c:pt idx="38">
                  <c:v>Tiete SAMAE</c:v>
                </c:pt>
              </c:strCache>
            </c:strRef>
          </c:cat>
          <c:val>
            <c:numRef>
              <c:f>'Tabela dinâmica'!$C$5:$C$44</c:f>
              <c:numCache>
                <c:formatCode>General</c:formatCode>
                <c:ptCount val="39"/>
                <c:pt idx="0">
                  <c:v>2466</c:v>
                </c:pt>
                <c:pt idx="1">
                  <c:v>5</c:v>
                </c:pt>
                <c:pt idx="2">
                  <c:v>9356</c:v>
                </c:pt>
                <c:pt idx="3">
                  <c:v>299</c:v>
                </c:pt>
                <c:pt idx="4">
                  <c:v>29</c:v>
                </c:pt>
                <c:pt idx="5">
                  <c:v>13432</c:v>
                </c:pt>
                <c:pt idx="6">
                  <c:v>0</c:v>
                </c:pt>
                <c:pt idx="7">
                  <c:v>1832</c:v>
                </c:pt>
                <c:pt idx="8">
                  <c:v>2</c:v>
                </c:pt>
                <c:pt idx="9">
                  <c:v>0</c:v>
                </c:pt>
                <c:pt idx="10">
                  <c:v>975</c:v>
                </c:pt>
                <c:pt idx="11">
                  <c:v>5736</c:v>
                </c:pt>
                <c:pt idx="12">
                  <c:v>0</c:v>
                </c:pt>
                <c:pt idx="13">
                  <c:v>0</c:v>
                </c:pt>
                <c:pt idx="14">
                  <c:v>3871</c:v>
                </c:pt>
                <c:pt idx="15">
                  <c:v>595</c:v>
                </c:pt>
                <c:pt idx="16">
                  <c:v>2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5187</c:v>
                </c:pt>
                <c:pt idx="21">
                  <c:v>1126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</c:v>
                </c:pt>
                <c:pt idx="27">
                  <c:v>7285</c:v>
                </c:pt>
                <c:pt idx="28">
                  <c:v>35</c:v>
                </c:pt>
                <c:pt idx="29">
                  <c:v>453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86</c:v>
                </c:pt>
                <c:pt idx="34">
                  <c:v>604</c:v>
                </c:pt>
                <c:pt idx="35">
                  <c:v>0</c:v>
                </c:pt>
                <c:pt idx="36">
                  <c:v>0</c:v>
                </c:pt>
                <c:pt idx="37">
                  <c:v>2682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strRef>
              <c:f>'Tabela dinâmica'!$D$4</c:f>
              <c:strCache>
                <c:ptCount val="1"/>
                <c:pt idx="0">
                  <c:v>Soma de total_geral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'Tabela dinâmica'!$A$5:$A$44</c:f>
              <c:strCache>
                <c:ptCount val="39"/>
                <c:pt idx="0">
                  <c:v>Barra Bonita PM</c:v>
                </c:pt>
                <c:pt idx="1">
                  <c:v>Bauru FunPrev</c:v>
                </c:pt>
                <c:pt idx="2">
                  <c:v>Bebedouro</c:v>
                </c:pt>
                <c:pt idx="3">
                  <c:v>Bebedouro SAAE</c:v>
                </c:pt>
                <c:pt idx="4">
                  <c:v>Bebedouro Sasemb</c:v>
                </c:pt>
                <c:pt idx="5">
                  <c:v>Bragança</c:v>
                </c:pt>
                <c:pt idx="6">
                  <c:v>Cabreúva CM</c:v>
                </c:pt>
                <c:pt idx="7">
                  <c:v>Cabreúva PM</c:v>
                </c:pt>
                <c:pt idx="8">
                  <c:v>Caçapava CM</c:v>
                </c:pt>
                <c:pt idx="9">
                  <c:v>Caçapava Fusam</c:v>
                </c:pt>
                <c:pt idx="10">
                  <c:v>Caçapava PM</c:v>
                </c:pt>
                <c:pt idx="11">
                  <c:v>Caieiras</c:v>
                </c:pt>
                <c:pt idx="12">
                  <c:v>Caieiras Prev</c:v>
                </c:pt>
                <c:pt idx="13">
                  <c:v>Cajuru PM</c:v>
                </c:pt>
                <c:pt idx="14">
                  <c:v>Cordeiropolis PM</c:v>
                </c:pt>
                <c:pt idx="15">
                  <c:v>Cubatão</c:v>
                </c:pt>
                <c:pt idx="16">
                  <c:v>Embu Guaçu PM</c:v>
                </c:pt>
                <c:pt idx="17">
                  <c:v>Ferraz de Vasconcelos PM </c:v>
                </c:pt>
                <c:pt idx="18">
                  <c:v>Ferraz de Vasconvelos CM</c:v>
                </c:pt>
                <c:pt idx="19">
                  <c:v>Itapeva IPMI</c:v>
                </c:pt>
                <c:pt idx="20">
                  <c:v>Itapeva PM</c:v>
                </c:pt>
                <c:pt idx="21">
                  <c:v>Itirapina PM</c:v>
                </c:pt>
                <c:pt idx="22">
                  <c:v>Itu CIS</c:v>
                </c:pt>
                <c:pt idx="23">
                  <c:v>Itu PM</c:v>
                </c:pt>
                <c:pt idx="24">
                  <c:v>Jandira PM</c:v>
                </c:pt>
                <c:pt idx="25">
                  <c:v>Limeira CEPROSOM</c:v>
                </c:pt>
                <c:pt idx="26">
                  <c:v>Mairiporã IPREMA</c:v>
                </c:pt>
                <c:pt idx="27">
                  <c:v>Mairiporã PM</c:v>
                </c:pt>
                <c:pt idx="28">
                  <c:v>Mococa</c:v>
                </c:pt>
                <c:pt idx="29">
                  <c:v>Poá</c:v>
                </c:pt>
                <c:pt idx="30">
                  <c:v>Rio Claro Fundação</c:v>
                </c:pt>
                <c:pt idx="31">
                  <c:v>Rio Claro PM</c:v>
                </c:pt>
                <c:pt idx="32">
                  <c:v>Santa Cruz da Esperança PM</c:v>
                </c:pt>
                <c:pt idx="33">
                  <c:v>Santo Antonio da Alegria PM</c:v>
                </c:pt>
                <c:pt idx="34">
                  <c:v>Santo Antonio do Jardim PM</c:v>
                </c:pt>
                <c:pt idx="35">
                  <c:v>Sorocaba PM</c:v>
                </c:pt>
                <c:pt idx="36">
                  <c:v>Sorocaba URBES</c:v>
                </c:pt>
                <c:pt idx="37">
                  <c:v>Taboão da Serra</c:v>
                </c:pt>
                <c:pt idx="38">
                  <c:v>Tiete SAMAE</c:v>
                </c:pt>
              </c:strCache>
            </c:strRef>
          </c:cat>
          <c:val>
            <c:numRef>
              <c:f>'Tabela dinâmica'!$D$5:$D$44</c:f>
              <c:numCache>
                <c:formatCode>General</c:formatCode>
                <c:ptCount val="39"/>
                <c:pt idx="0">
                  <c:v>2470</c:v>
                </c:pt>
                <c:pt idx="1">
                  <c:v>905</c:v>
                </c:pt>
                <c:pt idx="2">
                  <c:v>9366</c:v>
                </c:pt>
                <c:pt idx="3">
                  <c:v>299</c:v>
                </c:pt>
                <c:pt idx="4">
                  <c:v>29</c:v>
                </c:pt>
                <c:pt idx="5">
                  <c:v>13433</c:v>
                </c:pt>
                <c:pt idx="6">
                  <c:v>311</c:v>
                </c:pt>
                <c:pt idx="7">
                  <c:v>1832</c:v>
                </c:pt>
                <c:pt idx="8">
                  <c:v>6</c:v>
                </c:pt>
                <c:pt idx="9">
                  <c:v>0</c:v>
                </c:pt>
                <c:pt idx="10">
                  <c:v>1715</c:v>
                </c:pt>
                <c:pt idx="11">
                  <c:v>5881</c:v>
                </c:pt>
                <c:pt idx="12">
                  <c:v>43</c:v>
                </c:pt>
                <c:pt idx="13">
                  <c:v>913</c:v>
                </c:pt>
                <c:pt idx="14">
                  <c:v>3873</c:v>
                </c:pt>
                <c:pt idx="15">
                  <c:v>911</c:v>
                </c:pt>
                <c:pt idx="16">
                  <c:v>1838</c:v>
                </c:pt>
                <c:pt idx="17">
                  <c:v>6163</c:v>
                </c:pt>
                <c:pt idx="18">
                  <c:v>0</c:v>
                </c:pt>
                <c:pt idx="19">
                  <c:v>0</c:v>
                </c:pt>
                <c:pt idx="20">
                  <c:v>5187</c:v>
                </c:pt>
                <c:pt idx="21">
                  <c:v>1139</c:v>
                </c:pt>
                <c:pt idx="22">
                  <c:v>0</c:v>
                </c:pt>
                <c:pt idx="23">
                  <c:v>5055</c:v>
                </c:pt>
                <c:pt idx="24">
                  <c:v>4207</c:v>
                </c:pt>
                <c:pt idx="25">
                  <c:v>3</c:v>
                </c:pt>
                <c:pt idx="26">
                  <c:v>94</c:v>
                </c:pt>
                <c:pt idx="27">
                  <c:v>7289</c:v>
                </c:pt>
                <c:pt idx="28">
                  <c:v>5422</c:v>
                </c:pt>
                <c:pt idx="29">
                  <c:v>4163</c:v>
                </c:pt>
                <c:pt idx="30">
                  <c:v>1620</c:v>
                </c:pt>
                <c:pt idx="31">
                  <c:v>979</c:v>
                </c:pt>
                <c:pt idx="32">
                  <c:v>77</c:v>
                </c:pt>
                <c:pt idx="33">
                  <c:v>294</c:v>
                </c:pt>
                <c:pt idx="34">
                  <c:v>604</c:v>
                </c:pt>
                <c:pt idx="35">
                  <c:v>275</c:v>
                </c:pt>
                <c:pt idx="36">
                  <c:v>0</c:v>
                </c:pt>
                <c:pt idx="37">
                  <c:v>8201</c:v>
                </c:pt>
                <c:pt idx="38">
                  <c:v>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83599647"/>
        <c:axId val="945124002"/>
      </c:barChart>
      <c:catAx>
        <c:axId val="48359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124002"/>
        <c:crosses val="autoZero"/>
        <c:auto val="1"/>
        <c:lblAlgn val="ctr"/>
        <c:lblOffset val="100"/>
        <c:noMultiLvlLbl val="0"/>
      </c:catAx>
      <c:valAx>
        <c:axId val="945124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59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301625</xdr:colOff>
      <xdr:row>3</xdr:row>
      <xdr:rowOff>24130</xdr:rowOff>
    </xdr:from>
    <xdr:to>
      <xdr:col>10</xdr:col>
      <xdr:colOff>1105535</xdr:colOff>
      <xdr:row>43</xdr:row>
      <xdr:rowOff>92710</xdr:rowOff>
    </xdr:to>
    <xdr:graphicFrame>
      <xdr:nvGraphicFramePr>
        <xdr:cNvPr id="2" name="Gráfico 1"/>
        <xdr:cNvGraphicFramePr/>
      </xdr:nvGraphicFramePr>
      <xdr:xfrm>
        <a:off x="7007225" y="624205"/>
        <a:ext cx="10233660" cy="8069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4.4501273148" refreshedBy="giselle.barbosa" recordCount="39">
  <cacheSource type="worksheet">
    <worksheetSource ref="B3:H42" sheet="Clientes MPA"/>
  </cacheSource>
  <cacheFields count="7">
    <cacheField name="Cliente" numFmtId="0">
      <sharedItems count="39">
        <s v="Bragança"/>
        <s v="Bebedouro"/>
        <s v="Taboão da Serra"/>
        <s v="Mairiporã PM"/>
        <s v="Ferraz de Vasconcelos PM "/>
        <s v="Caieiras"/>
        <s v="Mococa"/>
        <s v="Itapeva PM"/>
        <s v="Itu PM"/>
        <s v="Jandira PM"/>
        <s v="Poá"/>
        <s v="Cordeiropolis PM"/>
        <s v="Barra Bonita PM"/>
        <s v="Embu Guaçu PM"/>
        <s v="Cabreúva PM"/>
        <s v="Caçapava PM"/>
        <s v="Rio Claro Fundação"/>
        <s v="Itirapina PM"/>
        <s v="Rio Claro PM"/>
        <s v="Cajuru PM"/>
        <s v="Cubatão"/>
        <s v="Bauru FunPrev"/>
        <s v="Tiete SAMAE"/>
        <s v="Santo Antonio do Jardim PM"/>
        <s v="Cabreúva CM"/>
        <s v="Bebedouro SAAE"/>
        <s v="Santo Antonio da Alegria PM"/>
        <s v="Sorocaba PM"/>
        <s v="Mairiporã IPREMA"/>
        <s v="Santa Cruz da Esperança PM"/>
        <s v="Caieiras Prev"/>
        <s v="Bebedouro Sasemb"/>
        <s v="Caçapava CM"/>
        <s v="Limeira CEPROSOM"/>
        <s v="Itu CIS"/>
        <s v="Ferraz de Vasconvelos CM"/>
        <s v="Sorocaba URBES"/>
        <s v="Itapeva IPMI"/>
        <s v="Caçapava Fusam"/>
      </sharedItems>
    </cacheField>
    <cacheField name="total_digitais" numFmtId="0">
      <sharedItems containsSemiMixedTypes="0" containsString="0" containsNumber="1" containsInteger="1" minValue="0" maxValue="13432" count="23">
        <n v="13432"/>
        <n v="9356"/>
        <n v="2682"/>
        <n v="7285"/>
        <n v="11"/>
        <n v="5736"/>
        <n v="35"/>
        <n v="5187"/>
        <n v="0"/>
        <n v="453"/>
        <n v="3871"/>
        <n v="2466"/>
        <n v="2"/>
        <n v="1832"/>
        <n v="975"/>
        <n v="1126"/>
        <n v="595"/>
        <n v="5"/>
        <n v="604"/>
        <n v="299"/>
        <n v="86"/>
        <n v="94"/>
        <n v="29"/>
      </sharedItems>
    </cacheField>
    <cacheField name="% digital" numFmtId="10">
      <sharedItems containsSemiMixedTypes="0" containsString="0" containsNumber="1" minValue="0" maxValue="1" count="19">
        <n v="0.999925556465421"/>
        <n v="0.998932308349349"/>
        <n v="0.327033288623339"/>
        <n v="0.999451227877624"/>
        <n v="0.00178484504299854"/>
        <n v="0.975344329195715"/>
        <n v="0.00645518258945039"/>
        <n v="1"/>
        <n v="0"/>
        <n v="0.108815757866923"/>
        <n v="0.999483604441002"/>
        <n v="0.998380566801619"/>
        <n v="0.00108813928182807"/>
        <n v="0.568513119533528"/>
        <n v="0.988586479367867"/>
        <n v="0.653128430296378"/>
        <n v="0.00552486187845304"/>
        <n v="0.292517006802721"/>
        <n v="0.333333333333333"/>
      </sharedItems>
    </cacheField>
    <cacheField name="total_fisicos" numFmtId="0">
      <sharedItems containsSemiMixedTypes="0" containsString="0" containsNumber="1" containsInteger="1" minValue="0" maxValue="6152" count="27">
        <n v="1"/>
        <n v="10"/>
        <n v="5519"/>
        <n v="4"/>
        <n v="6152"/>
        <n v="145"/>
        <n v="5387"/>
        <n v="0"/>
        <n v="5055"/>
        <n v="4207"/>
        <n v="3710"/>
        <n v="2"/>
        <n v="1836"/>
        <n v="740"/>
        <n v="1620"/>
        <n v="13"/>
        <n v="979"/>
        <n v="913"/>
        <n v="316"/>
        <n v="900"/>
        <n v="795"/>
        <n v="311"/>
        <n v="208"/>
        <n v="275"/>
        <n v="77"/>
        <n v="43"/>
        <n v="3"/>
      </sharedItems>
    </cacheField>
    <cacheField name="% fisico" numFmtId="0">
      <sharedItems containsSemiMixedTypes="0" containsString="0" containsNumber="1" minValue="0" maxValue="1" count="19">
        <n v="7.44435345790218e-5"/>
        <n v="0.00106769165065129"/>
        <n v="0.672966711376661"/>
        <n v="0.000548772122376183"/>
        <n v="0.998215154957001"/>
        <n v="0.024655670804285"/>
        <n v="0.99354481741055"/>
        <n v="0"/>
        <n v="1"/>
        <n v="0.891184242133077"/>
        <n v="0.000516395558998193"/>
        <n v="0.00161943319838057"/>
        <n v="0.998911860718172"/>
        <n v="0.431486880466472"/>
        <n v="0.0114135206321334"/>
        <n v="0.346871569703622"/>
        <n v="0.994475138121547"/>
        <n v="0.707482993197279"/>
        <n v="0.666666666666667"/>
      </sharedItems>
    </cacheField>
    <cacheField name="total_geral" numFmtId="0">
      <sharedItems containsSemiMixedTypes="0" containsString="0" containsNumber="1" containsInteger="1" minValue="0" maxValue="13433" count="35">
        <n v="13433"/>
        <n v="9366"/>
        <n v="8201"/>
        <n v="7289"/>
        <n v="6163"/>
        <n v="5881"/>
        <n v="5422"/>
        <n v="5187"/>
        <n v="5055"/>
        <n v="4207"/>
        <n v="4163"/>
        <n v="3873"/>
        <n v="2470"/>
        <n v="1838"/>
        <n v="1832"/>
        <n v="1715"/>
        <n v="1620"/>
        <n v="1139"/>
        <n v="979"/>
        <n v="913"/>
        <n v="911"/>
        <n v="905"/>
        <n v="795"/>
        <n v="604"/>
        <n v="311"/>
        <n v="299"/>
        <n v="294"/>
        <n v="275"/>
        <n v="94"/>
        <n v="77"/>
        <n v="43"/>
        <n v="29"/>
        <n v="6"/>
        <n v="3"/>
        <n v="0"/>
      </sharedItems>
    </cacheField>
    <cacheField name="Situação" numFmtId="0">
      <sharedItems count="4">
        <s v="Digital"/>
        <s v="Fisico e Digital"/>
        <s v="Fisico"/>
        <s v="Em transiçã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2"/>
    <x v="2"/>
    <x v="2"/>
    <x v="2"/>
    <x v="1"/>
  </r>
  <r>
    <x v="3"/>
    <x v="3"/>
    <x v="3"/>
    <x v="3"/>
    <x v="3"/>
    <x v="3"/>
    <x v="0"/>
  </r>
  <r>
    <x v="4"/>
    <x v="4"/>
    <x v="4"/>
    <x v="4"/>
    <x v="4"/>
    <x v="4"/>
    <x v="2"/>
  </r>
  <r>
    <x v="5"/>
    <x v="5"/>
    <x v="5"/>
    <x v="5"/>
    <x v="5"/>
    <x v="5"/>
    <x v="1"/>
  </r>
  <r>
    <x v="6"/>
    <x v="6"/>
    <x v="6"/>
    <x v="6"/>
    <x v="6"/>
    <x v="6"/>
    <x v="3"/>
  </r>
  <r>
    <x v="7"/>
    <x v="7"/>
    <x v="7"/>
    <x v="7"/>
    <x v="7"/>
    <x v="7"/>
    <x v="0"/>
  </r>
  <r>
    <x v="8"/>
    <x v="8"/>
    <x v="8"/>
    <x v="8"/>
    <x v="8"/>
    <x v="8"/>
    <x v="2"/>
  </r>
  <r>
    <x v="9"/>
    <x v="8"/>
    <x v="8"/>
    <x v="9"/>
    <x v="8"/>
    <x v="9"/>
    <x v="2"/>
  </r>
  <r>
    <x v="10"/>
    <x v="9"/>
    <x v="9"/>
    <x v="10"/>
    <x v="9"/>
    <x v="10"/>
    <x v="1"/>
  </r>
  <r>
    <x v="11"/>
    <x v="10"/>
    <x v="10"/>
    <x v="11"/>
    <x v="10"/>
    <x v="11"/>
    <x v="0"/>
  </r>
  <r>
    <x v="12"/>
    <x v="11"/>
    <x v="11"/>
    <x v="3"/>
    <x v="11"/>
    <x v="12"/>
    <x v="0"/>
  </r>
  <r>
    <x v="13"/>
    <x v="12"/>
    <x v="12"/>
    <x v="12"/>
    <x v="12"/>
    <x v="13"/>
    <x v="2"/>
  </r>
  <r>
    <x v="14"/>
    <x v="13"/>
    <x v="7"/>
    <x v="7"/>
    <x v="7"/>
    <x v="14"/>
    <x v="0"/>
  </r>
  <r>
    <x v="15"/>
    <x v="14"/>
    <x v="13"/>
    <x v="13"/>
    <x v="13"/>
    <x v="15"/>
    <x v="1"/>
  </r>
  <r>
    <x v="16"/>
    <x v="8"/>
    <x v="8"/>
    <x v="14"/>
    <x v="8"/>
    <x v="16"/>
    <x v="2"/>
  </r>
  <r>
    <x v="17"/>
    <x v="15"/>
    <x v="14"/>
    <x v="15"/>
    <x v="14"/>
    <x v="17"/>
    <x v="0"/>
  </r>
  <r>
    <x v="18"/>
    <x v="8"/>
    <x v="8"/>
    <x v="16"/>
    <x v="8"/>
    <x v="18"/>
    <x v="2"/>
  </r>
  <r>
    <x v="19"/>
    <x v="8"/>
    <x v="8"/>
    <x v="17"/>
    <x v="8"/>
    <x v="19"/>
    <x v="2"/>
  </r>
  <r>
    <x v="20"/>
    <x v="16"/>
    <x v="15"/>
    <x v="18"/>
    <x v="15"/>
    <x v="20"/>
    <x v="3"/>
  </r>
  <r>
    <x v="21"/>
    <x v="17"/>
    <x v="16"/>
    <x v="19"/>
    <x v="16"/>
    <x v="21"/>
    <x v="2"/>
  </r>
  <r>
    <x v="22"/>
    <x v="8"/>
    <x v="8"/>
    <x v="20"/>
    <x v="8"/>
    <x v="22"/>
    <x v="2"/>
  </r>
  <r>
    <x v="23"/>
    <x v="18"/>
    <x v="7"/>
    <x v="7"/>
    <x v="7"/>
    <x v="23"/>
    <x v="0"/>
  </r>
  <r>
    <x v="24"/>
    <x v="8"/>
    <x v="8"/>
    <x v="21"/>
    <x v="8"/>
    <x v="24"/>
    <x v="2"/>
  </r>
  <r>
    <x v="25"/>
    <x v="19"/>
    <x v="7"/>
    <x v="7"/>
    <x v="7"/>
    <x v="25"/>
    <x v="0"/>
  </r>
  <r>
    <x v="26"/>
    <x v="20"/>
    <x v="17"/>
    <x v="22"/>
    <x v="17"/>
    <x v="26"/>
    <x v="1"/>
  </r>
  <r>
    <x v="27"/>
    <x v="8"/>
    <x v="8"/>
    <x v="23"/>
    <x v="8"/>
    <x v="27"/>
    <x v="2"/>
  </r>
  <r>
    <x v="28"/>
    <x v="21"/>
    <x v="7"/>
    <x v="7"/>
    <x v="7"/>
    <x v="28"/>
    <x v="0"/>
  </r>
  <r>
    <x v="29"/>
    <x v="8"/>
    <x v="8"/>
    <x v="24"/>
    <x v="8"/>
    <x v="29"/>
    <x v="2"/>
  </r>
  <r>
    <x v="30"/>
    <x v="8"/>
    <x v="8"/>
    <x v="25"/>
    <x v="8"/>
    <x v="30"/>
    <x v="2"/>
  </r>
  <r>
    <x v="31"/>
    <x v="22"/>
    <x v="7"/>
    <x v="7"/>
    <x v="7"/>
    <x v="31"/>
    <x v="0"/>
  </r>
  <r>
    <x v="32"/>
    <x v="12"/>
    <x v="18"/>
    <x v="3"/>
    <x v="18"/>
    <x v="32"/>
    <x v="3"/>
  </r>
  <r>
    <x v="33"/>
    <x v="8"/>
    <x v="8"/>
    <x v="26"/>
    <x v="8"/>
    <x v="33"/>
    <x v="2"/>
  </r>
  <r>
    <x v="34"/>
    <x v="8"/>
    <x v="8"/>
    <x v="7"/>
    <x v="7"/>
    <x v="34"/>
    <x v="1"/>
  </r>
  <r>
    <x v="35"/>
    <x v="8"/>
    <x v="8"/>
    <x v="7"/>
    <x v="7"/>
    <x v="34"/>
    <x v="2"/>
  </r>
  <r>
    <x v="36"/>
    <x v="8"/>
    <x v="8"/>
    <x v="7"/>
    <x v="7"/>
    <x v="34"/>
    <x v="2"/>
  </r>
  <r>
    <x v="37"/>
    <x v="8"/>
    <x v="8"/>
    <x v="7"/>
    <x v="7"/>
    <x v="34"/>
    <x v="2"/>
  </r>
  <r>
    <x v="38"/>
    <x v="8"/>
    <x v="8"/>
    <x v="7"/>
    <x v="7"/>
    <x v="3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A4:D44" firstHeaderRow="0" firstDataRow="1" firstDataCol="1" rowPageCount="1" colPageCount="1"/>
  <pivotFields count="7">
    <pivotField axis="axisRow" compact="0" showAll="0">
      <items count="40">
        <item x="12"/>
        <item x="21"/>
        <item x="1"/>
        <item x="25"/>
        <item x="31"/>
        <item x="0"/>
        <item x="24"/>
        <item x="14"/>
        <item x="32"/>
        <item x="38"/>
        <item x="15"/>
        <item x="5"/>
        <item x="30"/>
        <item x="19"/>
        <item x="11"/>
        <item x="20"/>
        <item x="13"/>
        <item x="4"/>
        <item x="35"/>
        <item x="37"/>
        <item x="7"/>
        <item x="17"/>
        <item x="34"/>
        <item x="8"/>
        <item x="9"/>
        <item x="33"/>
        <item x="28"/>
        <item x="3"/>
        <item x="6"/>
        <item x="10"/>
        <item x="16"/>
        <item x="18"/>
        <item x="29"/>
        <item x="26"/>
        <item x="23"/>
        <item x="27"/>
        <item x="36"/>
        <item x="2"/>
        <item x="22"/>
        <item t="default"/>
      </items>
    </pivotField>
    <pivotField dataField="1" compact="0" showAll="0">
      <items count="24">
        <item x="8"/>
        <item x="12"/>
        <item x="17"/>
        <item x="4"/>
        <item x="22"/>
        <item x="6"/>
        <item x="20"/>
        <item x="21"/>
        <item x="19"/>
        <item x="9"/>
        <item x="16"/>
        <item x="18"/>
        <item x="14"/>
        <item x="15"/>
        <item x="13"/>
        <item x="11"/>
        <item x="2"/>
        <item x="10"/>
        <item x="7"/>
        <item x="5"/>
        <item x="3"/>
        <item x="1"/>
        <item x="0"/>
        <item t="default"/>
      </items>
    </pivotField>
    <pivotField compact="0" numFmtId="10" showAll="0">
      <items count="20">
        <item x="8"/>
        <item x="12"/>
        <item x="4"/>
        <item x="16"/>
        <item x="6"/>
        <item x="9"/>
        <item x="17"/>
        <item x="2"/>
        <item x="18"/>
        <item x="13"/>
        <item x="15"/>
        <item x="5"/>
        <item x="14"/>
        <item x="11"/>
        <item x="1"/>
        <item x="3"/>
        <item x="10"/>
        <item x="0"/>
        <item x="7"/>
        <item t="default"/>
      </items>
    </pivotField>
    <pivotField dataField="1" compact="0" showAll="0">
      <items count="28">
        <item x="7"/>
        <item x="0"/>
        <item x="11"/>
        <item x="26"/>
        <item x="3"/>
        <item x="1"/>
        <item x="15"/>
        <item x="25"/>
        <item x="24"/>
        <item x="5"/>
        <item x="22"/>
        <item x="23"/>
        <item x="21"/>
        <item x="18"/>
        <item x="13"/>
        <item x="20"/>
        <item x="19"/>
        <item x="17"/>
        <item x="16"/>
        <item x="14"/>
        <item x="12"/>
        <item x="10"/>
        <item x="9"/>
        <item x="8"/>
        <item x="6"/>
        <item x="2"/>
        <item x="4"/>
        <item t="default"/>
      </items>
    </pivotField>
    <pivotField compact="0" showAll="0">
      <items count="20">
        <item x="7"/>
        <item x="0"/>
        <item x="10"/>
        <item x="3"/>
        <item x="1"/>
        <item x="11"/>
        <item x="14"/>
        <item x="5"/>
        <item x="15"/>
        <item x="13"/>
        <item x="18"/>
        <item x="2"/>
        <item x="17"/>
        <item x="9"/>
        <item x="6"/>
        <item x="16"/>
        <item x="4"/>
        <item x="12"/>
        <item x="8"/>
        <item t="default"/>
      </items>
    </pivotField>
    <pivotField dataField="1" compact="0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compact="0" multipleItemSelectionAllowed="1" showAll="0">
      <items count="5">
        <item x="0"/>
        <item x="3"/>
        <item x="2"/>
        <item x="1"/>
        <item t="default"/>
      </items>
    </pivotField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/>
  </pageFields>
  <dataFields count="3">
    <dataField name="Soma de total_fisicos" fld="3" baseField="0" baseItem="0"/>
    <dataField name="Soma de total_digitais" fld="1" baseField="0" baseItem="0"/>
    <dataField name="Soma de total_geral" fld="5" baseField="0" baseItem="0"/>
  </dataFields>
  <formats count="2">
    <format dxfId="0">
      <pivotArea field="6" type="button" dataOnly="0" labelOnly="1" outline="0" fieldPosition="0"/>
    </format>
    <format dxfId="1">
      <pivotArea dataOnly="0" labelOnly="1" outline="0" fieldPosition="0">
        <references count="1">
          <reference field="6" count="0"/>
        </references>
      </pivotArea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2"/>
  <sheetViews>
    <sheetView showGridLines="0" tabSelected="1" zoomScale="70" zoomScaleNormal="70" workbookViewId="0">
      <selection activeCell="I19" sqref="I19"/>
    </sheetView>
  </sheetViews>
  <sheetFormatPr defaultColWidth="9" defaultRowHeight="15.75"/>
  <cols>
    <col min="1" max="1" width="9" style="15"/>
    <col min="2" max="2" width="24.5" customWidth="1"/>
    <col min="3" max="3" width="15.125" style="15" customWidth="1"/>
    <col min="4" max="4" width="15.5" style="15" customWidth="1"/>
    <col min="5" max="5" width="16.125" style="15" customWidth="1"/>
    <col min="6" max="6" width="11.875" style="15" customWidth="1"/>
    <col min="7" max="7" width="13.625" style="15" customWidth="1"/>
    <col min="8" max="8" width="18.75" customWidth="1"/>
    <col min="9" max="9" width="43.5" customWidth="1"/>
    <col min="10" max="10" width="37.125" style="16" customWidth="1"/>
  </cols>
  <sheetData>
    <row r="2" ht="16.5" spans="2:10">
      <c r="B2" s="17" t="s">
        <v>0</v>
      </c>
      <c r="C2" s="17"/>
      <c r="D2" s="17"/>
      <c r="E2" s="17"/>
      <c r="F2" s="17"/>
      <c r="G2" s="17"/>
      <c r="H2" s="17"/>
      <c r="I2" s="17"/>
      <c r="J2" s="38"/>
    </row>
    <row r="3" s="14" customFormat="1" ht="19.5" spans="1:10">
      <c r="A3" s="18"/>
      <c r="B3" s="19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39" t="s">
        <v>9</v>
      </c>
    </row>
    <row r="4" ht="16.5" spans="1:10">
      <c r="A4" s="15">
        <v>1</v>
      </c>
      <c r="B4" s="21" t="s">
        <v>10</v>
      </c>
      <c r="C4" s="22">
        <v>13432</v>
      </c>
      <c r="D4" s="23">
        <f t="shared" ref="D4:D11" si="0">C4*100%/G4</f>
        <v>0.999925556465421</v>
      </c>
      <c r="E4" s="22">
        <v>1</v>
      </c>
      <c r="F4" s="23">
        <f t="shared" ref="F4:F37" si="1">E4*100%/G4</f>
        <v>7.44435345790218e-5</v>
      </c>
      <c r="G4" s="22">
        <f>SUM(C4+E4)</f>
        <v>13433</v>
      </c>
      <c r="H4" s="24" t="s">
        <v>11</v>
      </c>
      <c r="I4" s="24"/>
      <c r="J4" s="40"/>
    </row>
    <row r="5" ht="16.5" spans="1:10">
      <c r="A5" s="15">
        <v>2</v>
      </c>
      <c r="B5" s="21" t="s">
        <v>12</v>
      </c>
      <c r="C5" s="22">
        <v>9356</v>
      </c>
      <c r="D5" s="23">
        <f t="shared" si="0"/>
        <v>0.998932308349349</v>
      </c>
      <c r="E5" s="22">
        <v>10</v>
      </c>
      <c r="F5" s="23">
        <f t="shared" si="1"/>
        <v>0.00106769165065129</v>
      </c>
      <c r="G5" s="22">
        <v>9366</v>
      </c>
      <c r="H5" s="24" t="s">
        <v>11</v>
      </c>
      <c r="I5" s="24"/>
      <c r="J5" s="40"/>
    </row>
    <row r="6" ht="16.5" spans="1:10">
      <c r="A6" s="15">
        <v>3</v>
      </c>
      <c r="B6" s="21" t="s">
        <v>13</v>
      </c>
      <c r="C6" s="22">
        <v>2682</v>
      </c>
      <c r="D6" s="23">
        <f t="shared" si="0"/>
        <v>0.327033288623339</v>
      </c>
      <c r="E6" s="22">
        <v>5519</v>
      </c>
      <c r="F6" s="23">
        <f t="shared" si="1"/>
        <v>0.672966711376661</v>
      </c>
      <c r="G6" s="22">
        <v>8201</v>
      </c>
      <c r="H6" s="24" t="s">
        <v>14</v>
      </c>
      <c r="I6" s="24"/>
      <c r="J6" s="40"/>
    </row>
    <row r="7" ht="16.5" spans="1:10">
      <c r="A7" s="15">
        <v>4</v>
      </c>
      <c r="B7" s="21" t="s">
        <v>15</v>
      </c>
      <c r="C7" s="22">
        <v>7285</v>
      </c>
      <c r="D7" s="23">
        <f t="shared" si="0"/>
        <v>0.999451227877624</v>
      </c>
      <c r="E7" s="22">
        <v>4</v>
      </c>
      <c r="F7" s="23">
        <f t="shared" si="1"/>
        <v>0.000548772122376183</v>
      </c>
      <c r="G7" s="22">
        <f>SUM(C7+E7)</f>
        <v>7289</v>
      </c>
      <c r="H7" s="24" t="s">
        <v>11</v>
      </c>
      <c r="I7" s="24"/>
      <c r="J7" s="40"/>
    </row>
    <row r="8" ht="16.5" spans="1:10">
      <c r="A8" s="15">
        <v>5</v>
      </c>
      <c r="B8" s="21" t="s">
        <v>16</v>
      </c>
      <c r="C8" s="22">
        <v>11</v>
      </c>
      <c r="D8" s="23">
        <f t="shared" si="0"/>
        <v>0.00178484504299854</v>
      </c>
      <c r="E8" s="22">
        <v>6152</v>
      </c>
      <c r="F8" s="23">
        <f t="shared" si="1"/>
        <v>0.998215154957001</v>
      </c>
      <c r="G8" s="22">
        <f>SUM(C8+E8)</f>
        <v>6163</v>
      </c>
      <c r="H8" s="24" t="s">
        <v>17</v>
      </c>
      <c r="I8" s="24"/>
      <c r="J8" s="40"/>
    </row>
    <row r="9" ht="16.5" spans="1:10">
      <c r="A9" s="15">
        <v>6</v>
      </c>
      <c r="B9" s="21" t="s">
        <v>18</v>
      </c>
      <c r="C9" s="22">
        <v>5736</v>
      </c>
      <c r="D9" s="23">
        <f t="shared" si="0"/>
        <v>0.975344329195715</v>
      </c>
      <c r="E9" s="22">
        <v>145</v>
      </c>
      <c r="F9" s="23">
        <f t="shared" si="1"/>
        <v>0.024655670804285</v>
      </c>
      <c r="G9" s="22">
        <v>5881</v>
      </c>
      <c r="H9" s="24" t="s">
        <v>14</v>
      </c>
      <c r="I9" s="24"/>
      <c r="J9" s="40"/>
    </row>
    <row r="10" ht="16.5" spans="1:10">
      <c r="A10" s="15">
        <v>7</v>
      </c>
      <c r="B10" s="21" t="s">
        <v>19</v>
      </c>
      <c r="C10" s="22">
        <v>35</v>
      </c>
      <c r="D10" s="23">
        <f t="shared" si="0"/>
        <v>0.00645518258945039</v>
      </c>
      <c r="E10" s="22">
        <v>5387</v>
      </c>
      <c r="F10" s="23">
        <f t="shared" si="1"/>
        <v>0.99354481741055</v>
      </c>
      <c r="G10" s="22">
        <v>5422</v>
      </c>
      <c r="H10" s="24" t="s">
        <v>20</v>
      </c>
      <c r="I10" s="24"/>
      <c r="J10" s="40"/>
    </row>
    <row r="11" ht="16.5" spans="1:10">
      <c r="A11" s="15">
        <v>8</v>
      </c>
      <c r="B11" s="21" t="s">
        <v>21</v>
      </c>
      <c r="C11" s="22">
        <v>5187</v>
      </c>
      <c r="D11" s="23">
        <f t="shared" si="0"/>
        <v>1</v>
      </c>
      <c r="E11" s="22">
        <v>0</v>
      </c>
      <c r="F11" s="23">
        <f t="shared" si="1"/>
        <v>0</v>
      </c>
      <c r="G11" s="22">
        <f t="shared" ref="G11:G23" si="2">SUM(C11+E11)</f>
        <v>5187</v>
      </c>
      <c r="H11" s="24" t="s">
        <v>11</v>
      </c>
      <c r="I11" s="24"/>
      <c r="J11" s="40"/>
    </row>
    <row r="12" ht="16.5" spans="1:10">
      <c r="A12" s="15">
        <v>9</v>
      </c>
      <c r="B12" s="21" t="s">
        <v>22</v>
      </c>
      <c r="C12" s="22">
        <v>0</v>
      </c>
      <c r="D12" s="23">
        <v>0</v>
      </c>
      <c r="E12" s="22">
        <v>5055</v>
      </c>
      <c r="F12" s="23">
        <f t="shared" si="1"/>
        <v>1</v>
      </c>
      <c r="G12" s="22">
        <f t="shared" si="2"/>
        <v>5055</v>
      </c>
      <c r="H12" s="24" t="s">
        <v>17</v>
      </c>
      <c r="I12" s="24"/>
      <c r="J12" s="40"/>
    </row>
    <row r="13" ht="16.5" spans="1:10">
      <c r="A13" s="15">
        <v>10</v>
      </c>
      <c r="B13" s="21" t="s">
        <v>23</v>
      </c>
      <c r="C13" s="22">
        <v>0</v>
      </c>
      <c r="D13" s="23">
        <f t="shared" ref="D13:D37" si="3">C13*100%/G13</f>
        <v>0</v>
      </c>
      <c r="E13" s="22">
        <v>4207</v>
      </c>
      <c r="F13" s="23">
        <f t="shared" si="1"/>
        <v>1</v>
      </c>
      <c r="G13" s="22">
        <f t="shared" si="2"/>
        <v>4207</v>
      </c>
      <c r="H13" s="24" t="s">
        <v>17</v>
      </c>
      <c r="I13" s="24" t="s">
        <v>24</v>
      </c>
      <c r="J13" s="40"/>
    </row>
    <row r="14" ht="16.5" spans="1:10">
      <c r="A14" s="15">
        <v>11</v>
      </c>
      <c r="B14" s="21" t="s">
        <v>25</v>
      </c>
      <c r="C14" s="22">
        <v>453</v>
      </c>
      <c r="D14" s="23">
        <f t="shared" si="3"/>
        <v>0.108815757866923</v>
      </c>
      <c r="E14" s="22">
        <v>3710</v>
      </c>
      <c r="F14" s="23">
        <f t="shared" si="1"/>
        <v>0.891184242133077</v>
      </c>
      <c r="G14" s="22">
        <f t="shared" si="2"/>
        <v>4163</v>
      </c>
      <c r="H14" s="24" t="s">
        <v>14</v>
      </c>
      <c r="I14" s="24"/>
      <c r="J14" s="40"/>
    </row>
    <row r="15" ht="16.5" spans="1:10">
      <c r="A15" s="15">
        <v>12</v>
      </c>
      <c r="B15" s="25" t="s">
        <v>26</v>
      </c>
      <c r="C15" s="26">
        <v>3871</v>
      </c>
      <c r="D15" s="27">
        <f t="shared" si="3"/>
        <v>0.999483604441002</v>
      </c>
      <c r="E15" s="26">
        <v>2</v>
      </c>
      <c r="F15" s="27">
        <f t="shared" si="1"/>
        <v>0.000516395558998193</v>
      </c>
      <c r="G15" s="26">
        <f t="shared" si="2"/>
        <v>3873</v>
      </c>
      <c r="H15" s="28" t="s">
        <v>11</v>
      </c>
      <c r="I15" s="28"/>
      <c r="J15" s="41"/>
    </row>
    <row r="16" ht="16.5" spans="1:10">
      <c r="A16" s="15">
        <v>13</v>
      </c>
      <c r="B16" s="21" t="s">
        <v>27</v>
      </c>
      <c r="C16" s="22">
        <v>2466</v>
      </c>
      <c r="D16" s="23">
        <f t="shared" si="3"/>
        <v>0.998380566801619</v>
      </c>
      <c r="E16" s="22">
        <v>4</v>
      </c>
      <c r="F16" s="23">
        <f t="shared" si="1"/>
        <v>0.00161943319838057</v>
      </c>
      <c r="G16" s="22">
        <f t="shared" si="2"/>
        <v>2470</v>
      </c>
      <c r="H16" s="24" t="s">
        <v>11</v>
      </c>
      <c r="I16" s="24"/>
      <c r="J16" s="40"/>
    </row>
    <row r="17" ht="16.5" spans="1:10">
      <c r="A17" s="15">
        <v>14</v>
      </c>
      <c r="B17" s="29" t="s">
        <v>28</v>
      </c>
      <c r="C17" s="30">
        <v>2</v>
      </c>
      <c r="D17" s="31">
        <f t="shared" si="3"/>
        <v>0.00108813928182807</v>
      </c>
      <c r="E17" s="30">
        <v>1836</v>
      </c>
      <c r="F17" s="31">
        <f t="shared" si="1"/>
        <v>0.998911860718172</v>
      </c>
      <c r="G17" s="30">
        <f t="shared" si="2"/>
        <v>1838</v>
      </c>
      <c r="H17" s="32" t="s">
        <v>17</v>
      </c>
      <c r="I17" s="32"/>
      <c r="J17" s="42"/>
    </row>
    <row r="18" ht="16.5" spans="1:10">
      <c r="A18" s="15">
        <v>15</v>
      </c>
      <c r="B18" s="21" t="s">
        <v>29</v>
      </c>
      <c r="C18" s="22">
        <v>1832</v>
      </c>
      <c r="D18" s="23">
        <f t="shared" si="3"/>
        <v>1</v>
      </c>
      <c r="E18" s="22">
        <v>0</v>
      </c>
      <c r="F18" s="23">
        <f t="shared" si="1"/>
        <v>0</v>
      </c>
      <c r="G18" s="22">
        <f t="shared" si="2"/>
        <v>1832</v>
      </c>
      <c r="H18" s="24" t="s">
        <v>11</v>
      </c>
      <c r="I18" s="24"/>
      <c r="J18" s="40"/>
    </row>
    <row r="19" ht="16.5" spans="1:10">
      <c r="A19" s="15">
        <v>16</v>
      </c>
      <c r="B19" s="33" t="s">
        <v>30</v>
      </c>
      <c r="C19" s="34">
        <v>975</v>
      </c>
      <c r="D19" s="35">
        <f t="shared" si="3"/>
        <v>0.568513119533528</v>
      </c>
      <c r="E19" s="34">
        <v>740</v>
      </c>
      <c r="F19" s="35">
        <f t="shared" si="1"/>
        <v>0.431486880466472</v>
      </c>
      <c r="G19" s="34">
        <f t="shared" si="2"/>
        <v>1715</v>
      </c>
      <c r="H19" s="36" t="s">
        <v>14</v>
      </c>
      <c r="I19" s="36"/>
      <c r="J19" s="43"/>
    </row>
    <row r="20" ht="16.5" spans="1:10">
      <c r="A20" s="15">
        <v>17</v>
      </c>
      <c r="B20" s="21" t="s">
        <v>31</v>
      </c>
      <c r="C20" s="22">
        <v>0</v>
      </c>
      <c r="D20" s="23">
        <f t="shared" si="3"/>
        <v>0</v>
      </c>
      <c r="E20" s="22">
        <v>1620</v>
      </c>
      <c r="F20" s="23">
        <f t="shared" si="1"/>
        <v>1</v>
      </c>
      <c r="G20" s="22">
        <f t="shared" si="2"/>
        <v>1620</v>
      </c>
      <c r="H20" s="24" t="s">
        <v>17</v>
      </c>
      <c r="I20" s="24"/>
      <c r="J20" s="40"/>
    </row>
    <row r="21" ht="16.5" spans="1:10">
      <c r="A21" s="15">
        <v>18</v>
      </c>
      <c r="B21" s="21" t="s">
        <v>32</v>
      </c>
      <c r="C21" s="22">
        <v>1126</v>
      </c>
      <c r="D21" s="23">
        <f t="shared" si="3"/>
        <v>0.988586479367867</v>
      </c>
      <c r="E21" s="22">
        <v>13</v>
      </c>
      <c r="F21" s="23">
        <f t="shared" si="1"/>
        <v>0.0114135206321334</v>
      </c>
      <c r="G21" s="22">
        <f t="shared" si="2"/>
        <v>1139</v>
      </c>
      <c r="H21" s="24" t="s">
        <v>11</v>
      </c>
      <c r="I21" s="24"/>
      <c r="J21" s="40"/>
    </row>
    <row r="22" ht="16.5" spans="1:10">
      <c r="A22" s="15">
        <v>19</v>
      </c>
      <c r="B22" s="21" t="s">
        <v>33</v>
      </c>
      <c r="C22" s="22">
        <v>0</v>
      </c>
      <c r="D22" s="23">
        <f t="shared" si="3"/>
        <v>0</v>
      </c>
      <c r="E22" s="22">
        <v>979</v>
      </c>
      <c r="F22" s="23">
        <f t="shared" si="1"/>
        <v>1</v>
      </c>
      <c r="G22" s="22">
        <f t="shared" si="2"/>
        <v>979</v>
      </c>
      <c r="H22" s="24" t="s">
        <v>17</v>
      </c>
      <c r="I22" s="24" t="s">
        <v>34</v>
      </c>
      <c r="J22" s="40"/>
    </row>
    <row r="23" ht="16.5" spans="1:10">
      <c r="A23" s="15">
        <v>20</v>
      </c>
      <c r="B23" s="21" t="s">
        <v>35</v>
      </c>
      <c r="C23" s="22">
        <v>0</v>
      </c>
      <c r="D23" s="23">
        <f t="shared" si="3"/>
        <v>0</v>
      </c>
      <c r="E23" s="22">
        <v>913</v>
      </c>
      <c r="F23" s="23">
        <f t="shared" si="1"/>
        <v>1</v>
      </c>
      <c r="G23" s="22">
        <f t="shared" si="2"/>
        <v>913</v>
      </c>
      <c r="H23" s="24" t="s">
        <v>17</v>
      </c>
      <c r="I23" s="24"/>
      <c r="J23" s="40"/>
    </row>
    <row r="24" ht="16.5" spans="1:10">
      <c r="A24" s="15">
        <v>21</v>
      </c>
      <c r="B24" s="21" t="s">
        <v>36</v>
      </c>
      <c r="C24" s="22">
        <v>595</v>
      </c>
      <c r="D24" s="23">
        <f t="shared" si="3"/>
        <v>0.653128430296378</v>
      </c>
      <c r="E24" s="22">
        <v>316</v>
      </c>
      <c r="F24" s="23">
        <f t="shared" si="1"/>
        <v>0.346871569703622</v>
      </c>
      <c r="G24" s="22">
        <v>911</v>
      </c>
      <c r="H24" s="24" t="s">
        <v>20</v>
      </c>
      <c r="I24" s="24"/>
      <c r="J24" s="40"/>
    </row>
    <row r="25" ht="16.5" spans="1:10">
      <c r="A25" s="15">
        <v>22</v>
      </c>
      <c r="B25" s="21" t="s">
        <v>37</v>
      </c>
      <c r="C25" s="22">
        <v>5</v>
      </c>
      <c r="D25" s="23">
        <f t="shared" si="3"/>
        <v>0.00552486187845304</v>
      </c>
      <c r="E25" s="22">
        <v>900</v>
      </c>
      <c r="F25" s="23">
        <f t="shared" si="1"/>
        <v>0.994475138121547</v>
      </c>
      <c r="G25" s="22">
        <f t="shared" ref="G25:G38" si="4">SUM(C25+E25)</f>
        <v>905</v>
      </c>
      <c r="H25" s="24" t="s">
        <v>17</v>
      </c>
      <c r="I25" s="24"/>
      <c r="J25" s="40"/>
    </row>
    <row r="26" ht="16.5" spans="1:10">
      <c r="A26" s="15">
        <v>23</v>
      </c>
      <c r="B26" s="21" t="s">
        <v>38</v>
      </c>
      <c r="C26" s="22">
        <v>0</v>
      </c>
      <c r="D26" s="23">
        <f t="shared" si="3"/>
        <v>0</v>
      </c>
      <c r="E26" s="22">
        <v>795</v>
      </c>
      <c r="F26" s="37">
        <f t="shared" si="1"/>
        <v>1</v>
      </c>
      <c r="G26" s="22">
        <f t="shared" si="4"/>
        <v>795</v>
      </c>
      <c r="H26" s="24" t="s">
        <v>17</v>
      </c>
      <c r="I26" s="24"/>
      <c r="J26" s="40"/>
    </row>
    <row r="27" ht="16.5" spans="1:10">
      <c r="A27" s="15">
        <v>24</v>
      </c>
      <c r="B27" s="21" t="s">
        <v>39</v>
      </c>
      <c r="C27" s="22">
        <v>604</v>
      </c>
      <c r="D27" s="23">
        <f t="shared" si="3"/>
        <v>1</v>
      </c>
      <c r="E27" s="22">
        <v>0</v>
      </c>
      <c r="F27" s="37">
        <f t="shared" si="1"/>
        <v>0</v>
      </c>
      <c r="G27" s="22">
        <f t="shared" si="4"/>
        <v>604</v>
      </c>
      <c r="H27" s="24" t="s">
        <v>11</v>
      </c>
      <c r="I27" s="24"/>
      <c r="J27" s="40"/>
    </row>
    <row r="28" ht="16.5" spans="1:10">
      <c r="A28" s="15">
        <v>25</v>
      </c>
      <c r="B28" s="21" t="s">
        <v>40</v>
      </c>
      <c r="C28" s="22">
        <v>0</v>
      </c>
      <c r="D28" s="23">
        <f t="shared" si="3"/>
        <v>0</v>
      </c>
      <c r="E28" s="22">
        <v>311</v>
      </c>
      <c r="F28" s="23">
        <f t="shared" si="1"/>
        <v>1</v>
      </c>
      <c r="G28" s="22">
        <f t="shared" si="4"/>
        <v>311</v>
      </c>
      <c r="H28" s="24" t="s">
        <v>17</v>
      </c>
      <c r="I28" s="24"/>
      <c r="J28" s="40"/>
    </row>
    <row r="29" ht="16.5" spans="1:10">
      <c r="A29" s="15">
        <v>26</v>
      </c>
      <c r="B29" s="21" t="s">
        <v>41</v>
      </c>
      <c r="C29" s="22">
        <v>299</v>
      </c>
      <c r="D29" s="23">
        <f t="shared" si="3"/>
        <v>1</v>
      </c>
      <c r="E29" s="22">
        <v>0</v>
      </c>
      <c r="F29" s="23">
        <f t="shared" si="1"/>
        <v>0</v>
      </c>
      <c r="G29" s="22">
        <f t="shared" si="4"/>
        <v>299</v>
      </c>
      <c r="H29" s="24" t="s">
        <v>11</v>
      </c>
      <c r="I29" s="24"/>
      <c r="J29" s="40"/>
    </row>
    <row r="30" ht="16.5" spans="1:10">
      <c r="A30" s="15">
        <v>27</v>
      </c>
      <c r="B30" s="21" t="s">
        <v>42</v>
      </c>
      <c r="C30" s="22">
        <v>86</v>
      </c>
      <c r="D30" s="23">
        <f t="shared" si="3"/>
        <v>0.292517006802721</v>
      </c>
      <c r="E30" s="22">
        <v>208</v>
      </c>
      <c r="F30" s="23">
        <f t="shared" si="1"/>
        <v>0.707482993197279</v>
      </c>
      <c r="G30" s="22">
        <f t="shared" si="4"/>
        <v>294</v>
      </c>
      <c r="H30" s="24" t="s">
        <v>14</v>
      </c>
      <c r="I30" s="24"/>
      <c r="J30" s="40"/>
    </row>
    <row r="31" ht="16.5" spans="1:10">
      <c r="A31" s="15">
        <v>28</v>
      </c>
      <c r="B31" s="21" t="s">
        <v>43</v>
      </c>
      <c r="C31" s="22">
        <v>0</v>
      </c>
      <c r="D31" s="23">
        <f t="shared" si="3"/>
        <v>0</v>
      </c>
      <c r="E31" s="22">
        <v>275</v>
      </c>
      <c r="F31" s="37">
        <f t="shared" si="1"/>
        <v>1</v>
      </c>
      <c r="G31" s="22">
        <f t="shared" si="4"/>
        <v>275</v>
      </c>
      <c r="H31" s="24" t="s">
        <v>17</v>
      </c>
      <c r="I31" s="24"/>
      <c r="J31" s="40"/>
    </row>
    <row r="32" ht="16.5" spans="1:10">
      <c r="A32" s="15">
        <v>29</v>
      </c>
      <c r="B32" s="21" t="s">
        <v>44</v>
      </c>
      <c r="C32" s="22">
        <v>94</v>
      </c>
      <c r="D32" s="23">
        <f t="shared" si="3"/>
        <v>1</v>
      </c>
      <c r="E32" s="22">
        <v>0</v>
      </c>
      <c r="F32" s="23">
        <f t="shared" si="1"/>
        <v>0</v>
      </c>
      <c r="G32" s="22">
        <f t="shared" si="4"/>
        <v>94</v>
      </c>
      <c r="H32" s="24" t="s">
        <v>11</v>
      </c>
      <c r="I32" s="24"/>
      <c r="J32" s="40"/>
    </row>
    <row r="33" ht="16.5" spans="1:10">
      <c r="A33" s="15">
        <v>30</v>
      </c>
      <c r="B33" s="21" t="s">
        <v>45</v>
      </c>
      <c r="C33" s="22">
        <v>0</v>
      </c>
      <c r="D33" s="23">
        <f t="shared" si="3"/>
        <v>0</v>
      </c>
      <c r="E33" s="22">
        <v>77</v>
      </c>
      <c r="F33" s="37">
        <f t="shared" si="1"/>
        <v>1</v>
      </c>
      <c r="G33" s="22">
        <f t="shared" si="4"/>
        <v>77</v>
      </c>
      <c r="H33" s="24" t="s">
        <v>17</v>
      </c>
      <c r="I33" s="24"/>
      <c r="J33" s="40"/>
    </row>
    <row r="34" ht="16.5" spans="1:10">
      <c r="A34" s="15">
        <v>31</v>
      </c>
      <c r="B34" s="21" t="s">
        <v>46</v>
      </c>
      <c r="C34" s="22">
        <v>0</v>
      </c>
      <c r="D34" s="23">
        <f t="shared" si="3"/>
        <v>0</v>
      </c>
      <c r="E34" s="22">
        <v>43</v>
      </c>
      <c r="F34" s="23">
        <f t="shared" si="1"/>
        <v>1</v>
      </c>
      <c r="G34" s="22">
        <f t="shared" si="4"/>
        <v>43</v>
      </c>
      <c r="H34" s="24" t="s">
        <v>17</v>
      </c>
      <c r="I34" s="24"/>
      <c r="J34" s="40"/>
    </row>
    <row r="35" ht="16.5" spans="1:10">
      <c r="A35" s="15">
        <v>32</v>
      </c>
      <c r="B35" s="21" t="s">
        <v>47</v>
      </c>
      <c r="C35" s="22">
        <v>29</v>
      </c>
      <c r="D35" s="23">
        <f t="shared" si="3"/>
        <v>1</v>
      </c>
      <c r="E35" s="22">
        <v>0</v>
      </c>
      <c r="F35" s="23">
        <f t="shared" si="1"/>
        <v>0</v>
      </c>
      <c r="G35" s="22">
        <f t="shared" si="4"/>
        <v>29</v>
      </c>
      <c r="H35" s="24" t="s">
        <v>11</v>
      </c>
      <c r="I35" s="24"/>
      <c r="J35" s="40"/>
    </row>
    <row r="36" ht="16.5" spans="1:10">
      <c r="A36" s="15">
        <v>33</v>
      </c>
      <c r="B36" s="21" t="s">
        <v>48</v>
      </c>
      <c r="C36" s="22">
        <v>2</v>
      </c>
      <c r="D36" s="23">
        <f t="shared" si="3"/>
        <v>0.333333333333333</v>
      </c>
      <c r="E36" s="22">
        <v>4</v>
      </c>
      <c r="F36" s="23">
        <f t="shared" si="1"/>
        <v>0.666666666666667</v>
      </c>
      <c r="G36" s="22">
        <f t="shared" si="4"/>
        <v>6</v>
      </c>
      <c r="H36" s="24" t="s">
        <v>20</v>
      </c>
      <c r="I36" s="24"/>
      <c r="J36" s="40"/>
    </row>
    <row r="37" ht="16.5" spans="1:10">
      <c r="A37" s="15">
        <v>34</v>
      </c>
      <c r="B37" s="21" t="s">
        <v>49</v>
      </c>
      <c r="C37" s="22">
        <v>0</v>
      </c>
      <c r="D37" s="23">
        <f t="shared" si="3"/>
        <v>0</v>
      </c>
      <c r="E37" s="22">
        <v>3</v>
      </c>
      <c r="F37" s="23">
        <f t="shared" si="1"/>
        <v>1</v>
      </c>
      <c r="G37" s="22">
        <f t="shared" si="4"/>
        <v>3</v>
      </c>
      <c r="H37" s="24" t="s">
        <v>17</v>
      </c>
      <c r="I37" s="24"/>
      <c r="J37" s="40"/>
    </row>
    <row r="38" ht="16.5" spans="1:10">
      <c r="A38" s="15">
        <v>35</v>
      </c>
      <c r="B38" s="21" t="s">
        <v>50</v>
      </c>
      <c r="C38" s="22">
        <v>0</v>
      </c>
      <c r="D38" s="23">
        <v>0</v>
      </c>
      <c r="E38" s="22">
        <v>0</v>
      </c>
      <c r="F38" s="23">
        <v>0</v>
      </c>
      <c r="G38" s="22">
        <f t="shared" si="4"/>
        <v>0</v>
      </c>
      <c r="H38" s="24" t="s">
        <v>14</v>
      </c>
      <c r="I38" s="24" t="s">
        <v>51</v>
      </c>
      <c r="J38" s="40"/>
    </row>
    <row r="39" ht="16.5" spans="1:10">
      <c r="A39" s="15">
        <v>36</v>
      </c>
      <c r="B39" s="21" t="s">
        <v>52</v>
      </c>
      <c r="C39" s="22">
        <v>0</v>
      </c>
      <c r="D39" s="23">
        <v>0</v>
      </c>
      <c r="E39" s="22">
        <v>0</v>
      </c>
      <c r="F39" s="23">
        <v>0</v>
      </c>
      <c r="G39" s="22">
        <v>0</v>
      </c>
      <c r="H39" s="24" t="s">
        <v>17</v>
      </c>
      <c r="I39" s="24" t="s">
        <v>53</v>
      </c>
      <c r="J39" s="40"/>
    </row>
    <row r="40" ht="16.5" spans="1:10">
      <c r="A40" s="15">
        <v>37</v>
      </c>
      <c r="B40" s="21" t="s">
        <v>54</v>
      </c>
      <c r="C40" s="22">
        <v>0</v>
      </c>
      <c r="D40" s="23">
        <v>0</v>
      </c>
      <c r="E40" s="22">
        <v>0</v>
      </c>
      <c r="F40" s="37">
        <v>0</v>
      </c>
      <c r="G40" s="22">
        <f>SUM(C40+E40)</f>
        <v>0</v>
      </c>
      <c r="H40" s="24" t="s">
        <v>17</v>
      </c>
      <c r="I40" s="24" t="s">
        <v>51</v>
      </c>
      <c r="J40" s="40"/>
    </row>
    <row r="41" ht="16.5" spans="1:10">
      <c r="A41" s="15">
        <v>38</v>
      </c>
      <c r="B41" s="21" t="s">
        <v>55</v>
      </c>
      <c r="C41" s="22">
        <v>0</v>
      </c>
      <c r="D41" s="23">
        <v>0</v>
      </c>
      <c r="E41" s="22">
        <v>0</v>
      </c>
      <c r="F41" s="23">
        <v>0</v>
      </c>
      <c r="G41" s="22">
        <v>0</v>
      </c>
      <c r="H41" s="24" t="s">
        <v>17</v>
      </c>
      <c r="I41" s="24"/>
      <c r="J41" s="40"/>
    </row>
    <row r="42" ht="16.5" spans="1:10">
      <c r="A42" s="15">
        <v>39</v>
      </c>
      <c r="B42" s="21" t="s">
        <v>56</v>
      </c>
      <c r="C42" s="22">
        <v>0</v>
      </c>
      <c r="D42" s="23">
        <v>0</v>
      </c>
      <c r="E42" s="22">
        <v>0</v>
      </c>
      <c r="F42" s="23">
        <v>0</v>
      </c>
      <c r="G42" s="22">
        <f>SUM(C42+E42)</f>
        <v>0</v>
      </c>
      <c r="H42" s="24" t="s">
        <v>20</v>
      </c>
      <c r="I42" s="24" t="s">
        <v>57</v>
      </c>
      <c r="J42" s="40"/>
    </row>
  </sheetData>
  <autoFilter xmlns:etc="http://www.wps.cn/officeDocument/2017/etCustomData" ref="B3:J42" etc:filterBottomFollowUsedRange="0">
    <sortState ref="B3:J42">
      <sortCondition ref="G3" descending="1"/>
    </sortState>
    <extLst/>
  </autoFilter>
  <mergeCells count="1">
    <mergeCell ref="B2:J2"/>
  </mergeCells>
  <dataValidations count="3">
    <dataValidation type="list" allowBlank="1" showInputMessage="1" showErrorMessage="1" sqref="H4:H27">
      <formula1>"Em transição,Digital,Fisico,Fisico e Digital"</formula1>
    </dataValidation>
    <dataValidation type="list" allowBlank="1" showInputMessage="1" showErrorMessage="1" sqref="H28:H42">
      <formula1>"Em transição,Fisico,Digital,Fisico e Digital"</formula1>
    </dataValidation>
    <dataValidation allowBlank="1" showInputMessage="1" showErrorMessage="1" sqref="I4:I42"/>
  </dataValidations>
  <pageMargins left="0.75" right="0.75" top="1" bottom="1" header="0.5" footer="0.5"/>
  <headerFooter/>
  <ignoredErrors>
    <ignoredError sqref="C3 E3 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4"/>
  <sheetViews>
    <sheetView showGridLines="0" zoomScale="70" zoomScaleNormal="70" topLeftCell="A29" workbookViewId="0">
      <selection activeCell="E2" sqref="E2"/>
    </sheetView>
  </sheetViews>
  <sheetFormatPr defaultColWidth="9" defaultRowHeight="15.75" outlineLevelCol="3"/>
  <cols>
    <col min="1" max="1" width="26.125"/>
    <col min="2" max="58" width="20.625"/>
    <col min="59" max="59" width="24.875"/>
    <col min="60" max="60" width="25.75"/>
    <col min="61" max="61" width="23.625"/>
    <col min="62" max="62" width="26.875"/>
    <col min="63" max="63" width="27.625"/>
    <col min="64" max="64" width="25.625"/>
    <col min="65" max="67" width="20.625"/>
    <col min="68" max="68" width="26.875"/>
    <col min="69" max="69" width="27.625"/>
    <col min="70" max="70" width="25.625"/>
    <col min="71" max="73" width="20.625"/>
    <col min="74" max="74" width="26.875"/>
    <col min="75" max="75" width="27.625"/>
    <col min="76" max="76" width="25.625"/>
    <col min="77" max="79" width="20.625"/>
    <col min="80" max="80" width="26.875"/>
    <col min="81" max="81" width="27.625"/>
    <col min="82" max="82" width="25.625"/>
    <col min="83" max="85" width="20.625"/>
    <col min="86" max="86" width="26.875"/>
    <col min="87" max="87" width="27.625"/>
    <col min="88" max="88" width="25.625"/>
    <col min="89" max="91" width="20.625"/>
    <col min="92" max="92" width="26.875"/>
    <col min="93" max="93" width="27.625"/>
    <col min="94" max="94" width="25.625"/>
    <col min="95" max="97" width="20.625"/>
    <col min="98" max="98" width="26.875"/>
    <col min="99" max="99" width="27.625"/>
    <col min="100" max="100" width="25.625"/>
    <col min="101" max="103" width="20.625"/>
    <col min="104" max="104" width="26.875"/>
    <col min="105" max="105" width="27.625"/>
    <col min="106" max="106" width="25.625"/>
    <col min="107" max="109" width="20.625"/>
    <col min="110" max="110" width="26.875"/>
    <col min="111" max="111" width="27.625"/>
    <col min="112" max="112" width="25.625"/>
    <col min="113" max="115" width="20.625"/>
    <col min="116" max="116" width="27.875"/>
    <col min="117" max="117" width="28.75"/>
    <col min="118" max="118" width="26.625"/>
    <col min="119" max="119" width="24.875"/>
    <col min="120" max="120" width="25.75"/>
    <col min="121" max="121" width="23.625"/>
  </cols>
  <sheetData>
    <row r="2" spans="1:2">
      <c r="A2" s="13" t="s">
        <v>7</v>
      </c>
      <c r="B2" s="13" t="s">
        <v>58</v>
      </c>
    </row>
    <row r="4" spans="1:4">
      <c r="A4" t="s">
        <v>1</v>
      </c>
      <c r="B4" t="s">
        <v>59</v>
      </c>
      <c r="C4" t="s">
        <v>60</v>
      </c>
      <c r="D4" t="s">
        <v>61</v>
      </c>
    </row>
    <row r="5" spans="1:4">
      <c r="A5" t="s">
        <v>27</v>
      </c>
      <c r="B5">
        <v>4</v>
      </c>
      <c r="C5">
        <v>2466</v>
      </c>
      <c r="D5">
        <v>2470</v>
      </c>
    </row>
    <row r="6" spans="1:4">
      <c r="A6" t="s">
        <v>37</v>
      </c>
      <c r="B6">
        <v>900</v>
      </c>
      <c r="C6">
        <v>5</v>
      </c>
      <c r="D6">
        <v>905</v>
      </c>
    </row>
    <row r="7" spans="1:4">
      <c r="A7" t="s">
        <v>12</v>
      </c>
      <c r="B7">
        <v>10</v>
      </c>
      <c r="C7">
        <v>9356</v>
      </c>
      <c r="D7">
        <v>9366</v>
      </c>
    </row>
    <row r="8" spans="1:4">
      <c r="A8" t="s">
        <v>41</v>
      </c>
      <c r="B8">
        <v>0</v>
      </c>
      <c r="C8">
        <v>299</v>
      </c>
      <c r="D8">
        <v>299</v>
      </c>
    </row>
    <row r="9" spans="1:4">
      <c r="A9" t="s">
        <v>47</v>
      </c>
      <c r="B9">
        <v>0</v>
      </c>
      <c r="C9">
        <v>29</v>
      </c>
      <c r="D9">
        <v>29</v>
      </c>
    </row>
    <row r="10" spans="1:4">
      <c r="A10" t="s">
        <v>10</v>
      </c>
      <c r="B10">
        <v>1</v>
      </c>
      <c r="C10">
        <v>13432</v>
      </c>
      <c r="D10">
        <v>13433</v>
      </c>
    </row>
    <row r="11" spans="1:4">
      <c r="A11" t="s">
        <v>40</v>
      </c>
      <c r="B11">
        <v>311</v>
      </c>
      <c r="C11">
        <v>0</v>
      </c>
      <c r="D11">
        <v>311</v>
      </c>
    </row>
    <row r="12" spans="1:4">
      <c r="A12" t="s">
        <v>29</v>
      </c>
      <c r="B12">
        <v>0</v>
      </c>
      <c r="C12">
        <v>1832</v>
      </c>
      <c r="D12">
        <v>1832</v>
      </c>
    </row>
    <row r="13" spans="1:4">
      <c r="A13" t="s">
        <v>48</v>
      </c>
      <c r="B13">
        <v>4</v>
      </c>
      <c r="C13">
        <v>2</v>
      </c>
      <c r="D13">
        <v>6</v>
      </c>
    </row>
    <row r="14" spans="1:4">
      <c r="A14" t="s">
        <v>56</v>
      </c>
      <c r="B14">
        <v>0</v>
      </c>
      <c r="C14">
        <v>0</v>
      </c>
      <c r="D14">
        <v>0</v>
      </c>
    </row>
    <row r="15" spans="1:4">
      <c r="A15" t="s">
        <v>30</v>
      </c>
      <c r="B15">
        <v>740</v>
      </c>
      <c r="C15">
        <v>975</v>
      </c>
      <c r="D15">
        <v>1715</v>
      </c>
    </row>
    <row r="16" spans="1:4">
      <c r="A16" t="s">
        <v>18</v>
      </c>
      <c r="B16">
        <v>145</v>
      </c>
      <c r="C16">
        <v>5736</v>
      </c>
      <c r="D16">
        <v>5881</v>
      </c>
    </row>
    <row r="17" spans="1:4">
      <c r="A17" t="s">
        <v>46</v>
      </c>
      <c r="B17">
        <v>43</v>
      </c>
      <c r="C17">
        <v>0</v>
      </c>
      <c r="D17">
        <v>43</v>
      </c>
    </row>
    <row r="18" spans="1:4">
      <c r="A18" t="s">
        <v>35</v>
      </c>
      <c r="B18">
        <v>913</v>
      </c>
      <c r="C18">
        <v>0</v>
      </c>
      <c r="D18">
        <v>913</v>
      </c>
    </row>
    <row r="19" spans="1:4">
      <c r="A19" t="s">
        <v>26</v>
      </c>
      <c r="B19">
        <v>2</v>
      </c>
      <c r="C19">
        <v>3871</v>
      </c>
      <c r="D19">
        <v>3873</v>
      </c>
    </row>
    <row r="20" spans="1:4">
      <c r="A20" t="s">
        <v>36</v>
      </c>
      <c r="B20">
        <v>316</v>
      </c>
      <c r="C20">
        <v>595</v>
      </c>
      <c r="D20">
        <v>911</v>
      </c>
    </row>
    <row r="21" spans="1:4">
      <c r="A21" t="s">
        <v>28</v>
      </c>
      <c r="B21">
        <v>1836</v>
      </c>
      <c r="C21">
        <v>2</v>
      </c>
      <c r="D21">
        <v>1838</v>
      </c>
    </row>
    <row r="22" spans="1:4">
      <c r="A22" t="s">
        <v>16</v>
      </c>
      <c r="B22">
        <v>6152</v>
      </c>
      <c r="C22">
        <v>11</v>
      </c>
      <c r="D22">
        <v>6163</v>
      </c>
    </row>
    <row r="23" spans="1:4">
      <c r="A23" t="s">
        <v>52</v>
      </c>
      <c r="B23">
        <v>0</v>
      </c>
      <c r="C23">
        <v>0</v>
      </c>
      <c r="D23">
        <v>0</v>
      </c>
    </row>
    <row r="24" spans="1:4">
      <c r="A24" t="s">
        <v>55</v>
      </c>
      <c r="B24">
        <v>0</v>
      </c>
      <c r="C24">
        <v>0</v>
      </c>
      <c r="D24">
        <v>0</v>
      </c>
    </row>
    <row r="25" spans="1:4">
      <c r="A25" t="s">
        <v>21</v>
      </c>
      <c r="B25">
        <v>0</v>
      </c>
      <c r="C25">
        <v>5187</v>
      </c>
      <c r="D25">
        <v>5187</v>
      </c>
    </row>
    <row r="26" spans="1:4">
      <c r="A26" t="s">
        <v>32</v>
      </c>
      <c r="B26">
        <v>13</v>
      </c>
      <c r="C26">
        <v>1126</v>
      </c>
      <c r="D26">
        <v>1139</v>
      </c>
    </row>
    <row r="27" spans="1:4">
      <c r="A27" t="s">
        <v>50</v>
      </c>
      <c r="B27">
        <v>0</v>
      </c>
      <c r="C27">
        <v>0</v>
      </c>
      <c r="D27">
        <v>0</v>
      </c>
    </row>
    <row r="28" spans="1:4">
      <c r="A28" t="s">
        <v>22</v>
      </c>
      <c r="B28">
        <v>5055</v>
      </c>
      <c r="C28">
        <v>0</v>
      </c>
      <c r="D28">
        <v>5055</v>
      </c>
    </row>
    <row r="29" spans="1:4">
      <c r="A29" t="s">
        <v>23</v>
      </c>
      <c r="B29">
        <v>4207</v>
      </c>
      <c r="C29">
        <v>0</v>
      </c>
      <c r="D29">
        <v>4207</v>
      </c>
    </row>
    <row r="30" spans="1:4">
      <c r="A30" t="s">
        <v>49</v>
      </c>
      <c r="B30">
        <v>3</v>
      </c>
      <c r="C30">
        <v>0</v>
      </c>
      <c r="D30">
        <v>3</v>
      </c>
    </row>
    <row r="31" spans="1:4">
      <c r="A31" t="s">
        <v>44</v>
      </c>
      <c r="B31">
        <v>0</v>
      </c>
      <c r="C31">
        <v>94</v>
      </c>
      <c r="D31">
        <v>94</v>
      </c>
    </row>
    <row r="32" spans="1:4">
      <c r="A32" t="s">
        <v>15</v>
      </c>
      <c r="B32">
        <v>4</v>
      </c>
      <c r="C32">
        <v>7285</v>
      </c>
      <c r="D32">
        <v>7289</v>
      </c>
    </row>
    <row r="33" spans="1:4">
      <c r="A33" t="s">
        <v>19</v>
      </c>
      <c r="B33">
        <v>5387</v>
      </c>
      <c r="C33">
        <v>35</v>
      </c>
      <c r="D33">
        <v>5422</v>
      </c>
    </row>
    <row r="34" spans="1:4">
      <c r="A34" t="s">
        <v>25</v>
      </c>
      <c r="B34">
        <v>3710</v>
      </c>
      <c r="C34">
        <v>453</v>
      </c>
      <c r="D34">
        <v>4163</v>
      </c>
    </row>
    <row r="35" spans="1:4">
      <c r="A35" t="s">
        <v>31</v>
      </c>
      <c r="B35">
        <v>1620</v>
      </c>
      <c r="C35">
        <v>0</v>
      </c>
      <c r="D35">
        <v>1620</v>
      </c>
    </row>
    <row r="36" spans="1:4">
      <c r="A36" t="s">
        <v>33</v>
      </c>
      <c r="B36">
        <v>979</v>
      </c>
      <c r="C36">
        <v>0</v>
      </c>
      <c r="D36">
        <v>979</v>
      </c>
    </row>
    <row r="37" spans="1:4">
      <c r="A37" t="s">
        <v>45</v>
      </c>
      <c r="B37">
        <v>77</v>
      </c>
      <c r="C37">
        <v>0</v>
      </c>
      <c r="D37">
        <v>77</v>
      </c>
    </row>
    <row r="38" spans="1:4">
      <c r="A38" t="s">
        <v>42</v>
      </c>
      <c r="B38">
        <v>208</v>
      </c>
      <c r="C38">
        <v>86</v>
      </c>
      <c r="D38">
        <v>294</v>
      </c>
    </row>
    <row r="39" spans="1:4">
      <c r="A39" t="s">
        <v>39</v>
      </c>
      <c r="B39">
        <v>0</v>
      </c>
      <c r="C39">
        <v>604</v>
      </c>
      <c r="D39">
        <v>604</v>
      </c>
    </row>
    <row r="40" spans="1:4">
      <c r="A40" t="s">
        <v>43</v>
      </c>
      <c r="B40">
        <v>275</v>
      </c>
      <c r="C40">
        <v>0</v>
      </c>
      <c r="D40">
        <v>275</v>
      </c>
    </row>
    <row r="41" spans="1:4">
      <c r="A41" t="s">
        <v>54</v>
      </c>
      <c r="B41">
        <v>0</v>
      </c>
      <c r="C41">
        <v>0</v>
      </c>
      <c r="D41">
        <v>0</v>
      </c>
    </row>
    <row r="42" spans="1:4">
      <c r="A42" t="s">
        <v>13</v>
      </c>
      <c r="B42">
        <v>5519</v>
      </c>
      <c r="C42">
        <v>2682</v>
      </c>
      <c r="D42">
        <v>8201</v>
      </c>
    </row>
    <row r="43" spans="1:4">
      <c r="A43" t="s">
        <v>38</v>
      </c>
      <c r="B43">
        <v>795</v>
      </c>
      <c r="C43">
        <v>0</v>
      </c>
      <c r="D43">
        <v>795</v>
      </c>
    </row>
    <row r="44" spans="1:4">
      <c r="A44" t="s">
        <v>62</v>
      </c>
      <c r="B44">
        <v>39229</v>
      </c>
      <c r="C44">
        <v>56163</v>
      </c>
      <c r="D44">
        <v>95392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1" sqref="B11"/>
    </sheetView>
  </sheetViews>
  <sheetFormatPr defaultColWidth="9" defaultRowHeight="15.75" outlineLevelCol="2"/>
  <cols>
    <col min="1" max="1" width="38.625" style="1" customWidth="1"/>
    <col min="2" max="2" width="59.5" style="1" customWidth="1"/>
    <col min="3" max="3" width="18.875" style="1" customWidth="1"/>
    <col min="4" max="6" width="9" style="1"/>
  </cols>
  <sheetData>
    <row r="1" ht="16.5" spans="1:3">
      <c r="A1" s="2" t="s">
        <v>63</v>
      </c>
      <c r="B1" s="3" t="s">
        <v>64</v>
      </c>
      <c r="C1" s="4" t="s">
        <v>65</v>
      </c>
    </row>
    <row r="2" spans="1:3">
      <c r="A2" s="5" t="s">
        <v>66</v>
      </c>
      <c r="B2" s="6" t="s">
        <v>67</v>
      </c>
      <c r="C2" s="7"/>
    </row>
    <row r="3" spans="1:3">
      <c r="A3" s="8" t="s">
        <v>68</v>
      </c>
      <c r="B3" s="9" t="s">
        <v>69</v>
      </c>
      <c r="C3" s="7"/>
    </row>
    <row r="4" spans="1:3">
      <c r="A4" s="8" t="s">
        <v>70</v>
      </c>
      <c r="B4" s="10" t="s">
        <v>71</v>
      </c>
      <c r="C4" s="7"/>
    </row>
    <row r="5" spans="1:3">
      <c r="A5" s="8" t="s">
        <v>72</v>
      </c>
      <c r="B5" s="10" t="s">
        <v>71</v>
      </c>
      <c r="C5" s="7"/>
    </row>
    <row r="6" spans="1:3">
      <c r="A6" s="8" t="s">
        <v>73</v>
      </c>
      <c r="B6" s="10" t="s">
        <v>74</v>
      </c>
      <c r="C6" s="7" t="s">
        <v>75</v>
      </c>
    </row>
    <row r="7" spans="1:3">
      <c r="A7" s="8" t="s">
        <v>76</v>
      </c>
      <c r="B7" s="10" t="s">
        <v>77</v>
      </c>
      <c r="C7" s="7"/>
    </row>
    <row r="8" spans="1:3">
      <c r="A8" s="8" t="s">
        <v>78</v>
      </c>
      <c r="B8" s="9" t="s">
        <v>79</v>
      </c>
      <c r="C8" s="7"/>
    </row>
    <row r="9" spans="1:3">
      <c r="A9" s="8" t="s">
        <v>80</v>
      </c>
      <c r="B9" s="9" t="s">
        <v>67</v>
      </c>
      <c r="C9" s="7"/>
    </row>
    <row r="10" spans="1:3">
      <c r="A10" s="8" t="s">
        <v>81</v>
      </c>
      <c r="B10" s="9" t="s">
        <v>82</v>
      </c>
      <c r="C10" s="7"/>
    </row>
    <row r="11" ht="16.5" spans="1:3">
      <c r="A11" s="11" t="s">
        <v>83</v>
      </c>
      <c r="B11" s="12" t="s">
        <v>71</v>
      </c>
      <c r="C1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Clientes MPA</vt:lpstr>
      <vt:lpstr>Tabela dinâmica</vt:lpstr>
      <vt:lpstr>outros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giselle.barbosa</cp:lastModifiedBy>
  <dcterms:created xsi:type="dcterms:W3CDTF">2026-03-19T20:43:00Z</dcterms:created>
  <dcterms:modified xsi:type="dcterms:W3CDTF">2026-03-23T14:37:09Z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141D11B406624985B06D7D854D9DE269_13</vt:lpwstr>
  </property>
  <property fmtid="{D5CDD505-2E9C-101B-9397-08002B2CF9AE}" pid="3" name="KSOProductBuildVer">
    <vt:lpwstr>1046-12.2.0.23196</vt:lpwstr>
  </property>
</Properties>
</file>